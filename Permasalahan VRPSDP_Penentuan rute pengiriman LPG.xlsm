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8_{F2DCF139-4E32-44BC-BFC7-11C79B6F35CC}" xr6:coauthVersionLast="47" xr6:coauthVersionMax="47" xr10:uidLastSave="{00000000-0000-0000-0000-000000000000}"/>
  <bookViews>
    <workbookView xWindow="-110" yWindow="-110" windowWidth="19420" windowHeight="10560" activeTab="5" xr2:uid="{00000000-000D-0000-FFFF-FFFF00000000}"/>
  </bookViews>
  <sheets>
    <sheet name="Home" sheetId="2" r:id="rId1"/>
    <sheet name="Input" sheetId="3" r:id="rId2"/>
    <sheet name="Data " sheetId="4" r:id="rId3"/>
    <sheet name="Distance Matrix" sheetId="5" r:id="rId4"/>
    <sheet name="Solution" sheetId="6" r:id="rId5"/>
    <sheet name="Iterasi solusi" sheetId="10" r:id="rId6"/>
    <sheet name="Manual " sheetId="8" r:id="rId7"/>
  </sheets>
  <functionGroups builtInGroupCount="19"/>
  <externalReferences>
    <externalReference r:id="rId8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61" i="8" l="1"/>
  <c r="V60" i="8"/>
  <c r="V59" i="8"/>
  <c r="V58" i="8"/>
  <c r="V57" i="8"/>
  <c r="W52" i="8"/>
  <c r="Y51" i="8"/>
  <c r="X51" i="8"/>
  <c r="W51" i="8"/>
  <c r="Y50" i="8"/>
  <c r="Y61" i="8" s="1"/>
  <c r="X50" i="8"/>
  <c r="Z50" i="8" s="1"/>
  <c r="W50" i="8"/>
  <c r="W44" i="8"/>
  <c r="Y43" i="8"/>
  <c r="X43" i="8"/>
  <c r="W43" i="8"/>
  <c r="Y42" i="8"/>
  <c r="X42" i="8"/>
  <c r="W42" i="8"/>
  <c r="Y41" i="8"/>
  <c r="X41" i="8"/>
  <c r="W41" i="8"/>
  <c r="Y40" i="8"/>
  <c r="X40" i="8"/>
  <c r="Z40" i="8" s="1"/>
  <c r="W40" i="8"/>
  <c r="Y39" i="8"/>
  <c r="X39" i="8"/>
  <c r="Z39" i="8" s="1"/>
  <c r="W39" i="8"/>
  <c r="W33" i="8"/>
  <c r="Y32" i="8"/>
  <c r="X32" i="8"/>
  <c r="W32" i="8"/>
  <c r="Y31" i="8"/>
  <c r="X31" i="8"/>
  <c r="W31" i="8"/>
  <c r="Y30" i="8"/>
  <c r="X30" i="8"/>
  <c r="W30" i="8"/>
  <c r="Y29" i="8"/>
  <c r="X29" i="8"/>
  <c r="X59" i="8" s="1"/>
  <c r="W29" i="8"/>
  <c r="Y28" i="8"/>
  <c r="X28" i="8"/>
  <c r="Z28" i="8" s="1"/>
  <c r="W28" i="8"/>
  <c r="Y27" i="8"/>
  <c r="X27" i="8"/>
  <c r="Z27" i="8" s="1"/>
  <c r="W27" i="8"/>
  <c r="W21" i="8"/>
  <c r="Y20" i="8"/>
  <c r="X20" i="8"/>
  <c r="W20" i="8"/>
  <c r="Y19" i="8"/>
  <c r="X19" i="8"/>
  <c r="W19" i="8"/>
  <c r="S19" i="8"/>
  <c r="R19" i="8"/>
  <c r="Y18" i="8"/>
  <c r="X18" i="8"/>
  <c r="W18" i="8"/>
  <c r="Y17" i="8"/>
  <c r="X17" i="8"/>
  <c r="X58" i="8" s="1"/>
  <c r="W17" i="8"/>
  <c r="Y16" i="8"/>
  <c r="X16" i="8"/>
  <c r="W16" i="8"/>
  <c r="Y15" i="8"/>
  <c r="Y58" i="8" s="1"/>
  <c r="X15" i="8"/>
  <c r="Z15" i="8" s="1"/>
  <c r="W15" i="8"/>
  <c r="Y14" i="8"/>
  <c r="X14" i="8"/>
  <c r="Z14" i="8" s="1"/>
  <c r="W14" i="8"/>
  <c r="W8" i="8"/>
  <c r="Y7" i="8"/>
  <c r="X7" i="8"/>
  <c r="W7" i="8"/>
  <c r="Y6" i="8"/>
  <c r="X6" i="8"/>
  <c r="W6" i="8"/>
  <c r="Y5" i="8"/>
  <c r="X5" i="8"/>
  <c r="X57" i="8" s="1"/>
  <c r="W5" i="8"/>
  <c r="Y4" i="8"/>
  <c r="Y57" i="8" s="1"/>
  <c r="X4" i="8"/>
  <c r="Z4" i="8" s="1"/>
  <c r="W4" i="8"/>
  <c r="T3" i="8"/>
  <c r="AA38" i="8" s="1"/>
  <c r="AB38" i="8" s="1"/>
  <c r="W53" i="8" l="1"/>
  <c r="W61" i="8" s="1"/>
  <c r="AD61" i="8" s="1"/>
  <c r="Y60" i="8"/>
  <c r="X60" i="8"/>
  <c r="AA3" i="8"/>
  <c r="AB3" i="8" s="1"/>
  <c r="Y59" i="8"/>
  <c r="W9" i="8"/>
  <c r="W57" i="8" s="1"/>
  <c r="W45" i="8"/>
  <c r="W60" i="8" s="1"/>
  <c r="AD60" i="8" s="1"/>
  <c r="AA13" i="8"/>
  <c r="AB13" i="8" s="1"/>
  <c r="W22" i="8"/>
  <c r="W58" i="8" s="1"/>
  <c r="AD58" i="8" s="1"/>
  <c r="W34" i="8"/>
  <c r="W59" i="8" s="1"/>
  <c r="AD59" i="8" s="1"/>
  <c r="AA49" i="8"/>
  <c r="AB49" i="8" s="1"/>
  <c r="X61" i="8"/>
  <c r="AA26" i="8"/>
  <c r="AB26" i="8" s="1"/>
  <c r="Z5" i="8"/>
  <c r="Z6" i="8"/>
  <c r="Z17" i="8"/>
  <c r="Z16" i="8"/>
  <c r="Z29" i="8"/>
  <c r="AA28" i="8"/>
  <c r="AA29" i="8" s="1"/>
  <c r="AA39" i="8"/>
  <c r="AB39" i="8" s="1"/>
  <c r="Z41" i="8"/>
  <c r="AA40" i="8"/>
  <c r="AA41" i="8" s="1"/>
  <c r="AA42" i="8" s="1"/>
  <c r="Z51" i="8"/>
  <c r="AA50" i="8"/>
  <c r="AA51" i="8" s="1"/>
  <c r="AA61" i="8" s="1"/>
  <c r="AA27" i="8" l="1"/>
  <c r="AB27" i="8" s="1"/>
  <c r="W62" i="8"/>
  <c r="AD57" i="8"/>
  <c r="AD62" i="8" s="1"/>
  <c r="AA14" i="8"/>
  <c r="AB14" i="8" s="1"/>
  <c r="AA15" i="8"/>
  <c r="AB15" i="8" s="1"/>
  <c r="AA4" i="8"/>
  <c r="AA5" i="8" s="1"/>
  <c r="AA6" i="8" s="1"/>
  <c r="AA57" i="8" s="1"/>
  <c r="AB40" i="8"/>
  <c r="AB51" i="8"/>
  <c r="AB61" i="8" s="1"/>
  <c r="Z61" i="8"/>
  <c r="AA31" i="8"/>
  <c r="AA30" i="8"/>
  <c r="Z31" i="8"/>
  <c r="Z30" i="8"/>
  <c r="AB30" i="8" s="1"/>
  <c r="AB29" i="8"/>
  <c r="Z18" i="8"/>
  <c r="Z57" i="8"/>
  <c r="AB50" i="8"/>
  <c r="AA60" i="8"/>
  <c r="AA43" i="8"/>
  <c r="Z42" i="8"/>
  <c r="AB41" i="8"/>
  <c r="AB28" i="8"/>
  <c r="Z7" i="8"/>
  <c r="AB6" i="8" l="1"/>
  <c r="AB57" i="8" s="1"/>
  <c r="AA16" i="8"/>
  <c r="AB16" i="8" s="1"/>
  <c r="AB4" i="8"/>
  <c r="AB5" i="8"/>
  <c r="AA7" i="8"/>
  <c r="AB7" i="8" s="1"/>
  <c r="AA17" i="8"/>
  <c r="AA18" i="8" s="1"/>
  <c r="AA19" i="8" s="1"/>
  <c r="AA58" i="8" s="1"/>
  <c r="Z19" i="8"/>
  <c r="Z43" i="8"/>
  <c r="AB43" i="8" s="1"/>
  <c r="AB42" i="8"/>
  <c r="AB60" i="8" s="1"/>
  <c r="Z60" i="8"/>
  <c r="Z32" i="8"/>
  <c r="AB31" i="8"/>
  <c r="AB59" i="8" s="1"/>
  <c r="Z59" i="8"/>
  <c r="AA59" i="8"/>
  <c r="AA32" i="8"/>
  <c r="AA20" i="8" l="1"/>
  <c r="AB17" i="8"/>
  <c r="AB18" i="8"/>
  <c r="AB32" i="8"/>
  <c r="Z20" i="8"/>
  <c r="AB20" i="8" s="1"/>
  <c r="AB19" i="8"/>
  <c r="AB58" i="8" s="1"/>
  <c r="Z58" i="8"/>
</calcChain>
</file>

<file path=xl/sharedStrings.xml><?xml version="1.0" encoding="utf-8"?>
<sst xmlns="http://schemas.openxmlformats.org/spreadsheetml/2006/main" count="148" uniqueCount="82">
  <si>
    <t>Jumlah Data</t>
  </si>
  <si>
    <t>Koordinat</t>
  </si>
  <si>
    <t>Batas Atas</t>
  </si>
  <si>
    <t>Batas Bawah</t>
  </si>
  <si>
    <t>Kapasitas Kendaraan</t>
  </si>
  <si>
    <t>Delivery</t>
  </si>
  <si>
    <t>Pick Up</t>
  </si>
  <si>
    <t>Node</t>
  </si>
  <si>
    <t>Status</t>
  </si>
  <si>
    <t>X</t>
  </si>
  <si>
    <t>Y</t>
  </si>
  <si>
    <t>Distance</t>
  </si>
  <si>
    <t>1 liter = 3 km</t>
  </si>
  <si>
    <t>Solar = Rp 9.400/liter</t>
  </si>
  <si>
    <t>Solusi</t>
  </si>
  <si>
    <t>Truk</t>
  </si>
  <si>
    <t>Rute</t>
  </si>
  <si>
    <t>Load of Deliveries</t>
  </si>
  <si>
    <t>Load of Pick Up</t>
  </si>
  <si>
    <t>Total Jarak</t>
  </si>
  <si>
    <t>Cost per Km</t>
  </si>
  <si>
    <t>Total Cost</t>
  </si>
  <si>
    <t>0 - 12 - 1 - 11 - 0</t>
  </si>
  <si>
    <t>0 - 3 - 7 - 2 - 0</t>
  </si>
  <si>
    <t>0 - 15 - 6 - 4 - 0</t>
  </si>
  <si>
    <t>0 - 13 - 14 - 5 - 0</t>
  </si>
  <si>
    <t>0 - 9 - 8 - 10 - 0</t>
  </si>
  <si>
    <t>Truck</t>
  </si>
  <si>
    <t>Dari</t>
  </si>
  <si>
    <t>Ke</t>
  </si>
  <si>
    <t>Jarak</t>
  </si>
  <si>
    <t>Loads of Deliveries</t>
  </si>
  <si>
    <t>Sisa Kapasitas</t>
  </si>
  <si>
    <t>Loads of Pickups</t>
  </si>
  <si>
    <t>Kapasitas Akhir</t>
  </si>
  <si>
    <t>Matriks dij</t>
  </si>
  <si>
    <t>Pickup</t>
  </si>
  <si>
    <t>Kapasitas Truk</t>
  </si>
  <si>
    <t>Truk 1</t>
  </si>
  <si>
    <t>Isi Kapasitas</t>
  </si>
  <si>
    <t>Jumlah di truk</t>
  </si>
  <si>
    <t>0--5</t>
  </si>
  <si>
    <t>0--5--12</t>
  </si>
  <si>
    <t>0--5--12--4</t>
  </si>
  <si>
    <t>0--5--12--4--1</t>
  </si>
  <si>
    <t>stop, karena tidak ada delivery lagi yang dapat dicover sisa kapasitas</t>
  </si>
  <si>
    <t>karena sisa kapasitas tidak dapat memenuhi demand selanjutnya</t>
  </si>
  <si>
    <t>0--5--12--4--0</t>
  </si>
  <si>
    <t>Truk 2</t>
  </si>
  <si>
    <t>0--1</t>
  </si>
  <si>
    <t>tidak bisa karena jumlah di truk melebihi kapasitas truk</t>
  </si>
  <si>
    <t>0--13</t>
  </si>
  <si>
    <t>0--13--7</t>
  </si>
  <si>
    <t>0--13--14</t>
  </si>
  <si>
    <t>0--13--14--15</t>
  </si>
  <si>
    <t>Total</t>
  </si>
  <si>
    <t>0--13--14--15--2</t>
  </si>
  <si>
    <t>0--13--14--15--2--3</t>
  </si>
  <si>
    <t>stop, karena  delivery tidak dapat dicover sisa kapasitas</t>
  </si>
  <si>
    <t>0--13--14--15--2--0</t>
  </si>
  <si>
    <t>Truk 3</t>
  </si>
  <si>
    <t>tidak bisa karena kapasitas truk tidak memenuhi</t>
  </si>
  <si>
    <t>0--12</t>
  </si>
  <si>
    <t>0--12--1</t>
  </si>
  <si>
    <t>0--12--1--9</t>
  </si>
  <si>
    <t>0--12--1--3</t>
  </si>
  <si>
    <t>0--12--1--3--11</t>
  </si>
  <si>
    <t>0--12--1--3--0</t>
  </si>
  <si>
    <t>Truk 4</t>
  </si>
  <si>
    <t>0--9</t>
  </si>
  <si>
    <t>0--10</t>
  </si>
  <si>
    <t>0--10--9</t>
  </si>
  <si>
    <t>0--10--9--6</t>
  </si>
  <si>
    <t>0--10--9--6--11</t>
  </si>
  <si>
    <t>0--10--9--6--0</t>
  </si>
  <si>
    <t>Truk 5</t>
  </si>
  <si>
    <t>0--3</t>
  </si>
  <si>
    <t>0--3--11</t>
  </si>
  <si>
    <t>0--3--11--0</t>
  </si>
  <si>
    <t>SUMMARY</t>
  </si>
  <si>
    <t>No</t>
  </si>
  <si>
    <t>Cost per 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</si>
</sst>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p-421]* #.##00._-;\-[$Rp-421]* #.##00._-;_-[$Rp-421]* &quot;-&quot;??_-;_-@_-"/>
    <numFmt numFmtId="165" formatCode="_-[$Rp-421]* #.##0.00_-;\-[$Rp-421]* #.##0.00_-;_-[$Rp-421]* &quot;-&quot;??_-;_-@_-"/>
  </numFmts>
  <fonts count="1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4"/>
      <color rgb="FFFF0000"/>
      <name val="Bahnschrift SemiCondensed"/>
      <family val="2"/>
    </font>
    <font>
      <sz val="14"/>
      <color theme="1"/>
      <name val="Bahnschrift SemiCondensed"/>
      <family val="2"/>
    </font>
    <font>
      <sz val="11"/>
      <color theme="1"/>
      <name val="Bahnschrift SemiCondensed"/>
      <family val="2"/>
    </font>
    <font>
      <b/>
      <sz val="14"/>
      <color rgb="FFFF0000"/>
      <name val="Bahnschrift SemiCondensed"/>
      <family val="2"/>
    </font>
    <font>
      <b/>
      <sz val="11"/>
      <color theme="1"/>
      <name val="Calibri"/>
      <family val="2"/>
      <scheme val="minor"/>
    </font>
    <font>
      <sz val="11"/>
      <color rgb="FF444444"/>
      <name val="Calibri"/>
      <family val="2"/>
    </font>
    <font>
      <b/>
      <sz val="14"/>
      <color theme="0"/>
      <name val="Bahnschrift SemiCondensed"/>
      <family val="2"/>
    </font>
    <font>
      <sz val="14"/>
      <color theme="0"/>
      <name val="Bahnschrift SemiCondensed"/>
      <family val="2"/>
    </font>
    <font>
      <sz val="11"/>
      <color theme="0"/>
      <name val="Bahnschrift SemiCondensed"/>
      <family val="2"/>
    </font>
    <font>
      <sz val="12"/>
      <color theme="1"/>
      <name val="Bahnschrift SemiCondensed"/>
      <family val="2"/>
    </font>
    <font>
      <sz val="11"/>
      <name val="Calibri"/>
      <family val="2"/>
    </font>
    <font>
      <sz val="11"/>
      <name val="Bahnschrift SemiCondensed"/>
      <family val="2"/>
    </font>
    <font>
      <b/>
      <sz val="11"/>
      <color theme="1"/>
      <name val="Calibri"/>
      <family val="2"/>
      <charset val="1"/>
      <scheme val="minor"/>
    </font>
    <font>
      <b/>
      <u/>
      <sz val="22"/>
      <color rgb="FF000000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6">
    <xf numFmtId="0" fontId="0" fillId="0" borderId="0" xfId="0"/>
    <xf numFmtId="0" fontId="1" fillId="0" borderId="0" xfId="1"/>
    <xf numFmtId="0" fontId="1" fillId="0" borderId="12" xfId="1" applyBorder="1" applyAlignment="1">
      <alignment horizontal="center" vertical="center"/>
    </xf>
    <xf numFmtId="0" fontId="6" fillId="0" borderId="13" xfId="1" applyFont="1" applyBorder="1" applyAlignment="1">
      <alignment horizontal="center" vertical="center"/>
    </xf>
    <xf numFmtId="0" fontId="1" fillId="0" borderId="14" xfId="1" applyBorder="1" applyAlignment="1">
      <alignment horizontal="center"/>
    </xf>
    <xf numFmtId="0" fontId="1" fillId="0" borderId="0" xfId="1" applyAlignment="1">
      <alignment horizontal="center"/>
    </xf>
    <xf numFmtId="0" fontId="1" fillId="0" borderId="15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5" xfId="1" applyBorder="1" applyAlignment="1">
      <alignment horizontal="center"/>
    </xf>
    <xf numFmtId="0" fontId="1" fillId="0" borderId="17" xfId="1" applyBorder="1" applyAlignment="1">
      <alignment horizontal="center"/>
    </xf>
    <xf numFmtId="0" fontId="1" fillId="0" borderId="8" xfId="1" applyBorder="1" applyAlignment="1">
      <alignment horizontal="center" vertical="center"/>
    </xf>
    <xf numFmtId="0" fontId="6" fillId="2" borderId="7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2" fillId="4" borderId="0" xfId="1" applyFont="1" applyFill="1" applyAlignment="1">
      <alignment horizontal="center" vertical="center"/>
    </xf>
    <xf numFmtId="0" fontId="3" fillId="4" borderId="0" xfId="1" applyFont="1" applyFill="1"/>
    <xf numFmtId="0" fontId="2" fillId="4" borderId="0" xfId="1" applyFont="1" applyFill="1"/>
    <xf numFmtId="0" fontId="1" fillId="4" borderId="0" xfId="1" applyFill="1"/>
    <xf numFmtId="0" fontId="4" fillId="4" borderId="1" xfId="1" applyFont="1" applyFill="1" applyBorder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0" fontId="5" fillId="4" borderId="0" xfId="1" applyFont="1" applyFill="1" applyAlignment="1">
      <alignment horizontal="center" vertical="center"/>
    </xf>
    <xf numFmtId="0" fontId="3" fillId="4" borderId="0" xfId="1" applyFont="1" applyFill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4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0" fontId="3" fillId="4" borderId="9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/>
    </xf>
    <xf numFmtId="0" fontId="3" fillId="4" borderId="6" xfId="1" applyFont="1" applyFill="1" applyBorder="1" applyAlignment="1">
      <alignment horizontal="center" vertical="center"/>
    </xf>
    <xf numFmtId="0" fontId="3" fillId="4" borderId="7" xfId="1" applyFont="1" applyFill="1" applyBorder="1" applyAlignment="1">
      <alignment horizontal="center" vertical="center"/>
    </xf>
    <xf numFmtId="0" fontId="9" fillId="3" borderId="19" xfId="1" applyFont="1" applyFill="1" applyBorder="1" applyAlignment="1">
      <alignment horizontal="left" vertical="center"/>
    </xf>
    <xf numFmtId="0" fontId="3" fillId="4" borderId="20" xfId="1" applyFont="1" applyFill="1" applyBorder="1" applyAlignment="1">
      <alignment horizontal="right" vertical="center"/>
    </xf>
    <xf numFmtId="0" fontId="9" fillId="5" borderId="23" xfId="1" applyFont="1" applyFill="1" applyBorder="1"/>
    <xf numFmtId="0" fontId="3" fillId="4" borderId="24" xfId="1" applyFont="1" applyFill="1" applyBorder="1"/>
    <xf numFmtId="0" fontId="9" fillId="5" borderId="25" xfId="1" applyFont="1" applyFill="1" applyBorder="1"/>
    <xf numFmtId="0" fontId="3" fillId="4" borderId="26" xfId="1" applyFont="1" applyFill="1" applyBorder="1"/>
    <xf numFmtId="0" fontId="9" fillId="3" borderId="19" xfId="1" applyFont="1" applyFill="1" applyBorder="1"/>
    <xf numFmtId="0" fontId="3" fillId="4" borderId="20" xfId="1" applyFont="1" applyFill="1" applyBorder="1"/>
    <xf numFmtId="0" fontId="10" fillId="3" borderId="1" xfId="1" applyFont="1" applyFill="1" applyBorder="1" applyAlignment="1">
      <alignment horizontal="center" vertical="center"/>
    </xf>
    <xf numFmtId="0" fontId="10" fillId="4" borderId="0" xfId="1" applyFont="1" applyFill="1" applyAlignment="1">
      <alignment horizontal="center" vertical="center"/>
    </xf>
    <xf numFmtId="0" fontId="9" fillId="5" borderId="8" xfId="1" applyFont="1" applyFill="1" applyBorder="1" applyAlignment="1">
      <alignment horizontal="center" vertical="center"/>
    </xf>
    <xf numFmtId="0" fontId="9" fillId="5" borderId="2" xfId="1" applyFont="1" applyFill="1" applyBorder="1" applyAlignment="1">
      <alignment horizontal="center" vertical="center"/>
    </xf>
    <xf numFmtId="0" fontId="9" fillId="5" borderId="4" xfId="1" applyFont="1" applyFill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" fillId="0" borderId="27" xfId="1" applyBorder="1" applyAlignment="1">
      <alignment horizontal="center"/>
    </xf>
    <xf numFmtId="0" fontId="1" fillId="7" borderId="12" xfId="1" applyFill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1" fillId="7" borderId="16" xfId="1" applyFill="1" applyBorder="1" applyAlignment="1">
      <alignment horizontal="center" vertical="center"/>
    </xf>
    <xf numFmtId="0" fontId="1" fillId="7" borderId="1" xfId="1" applyFill="1" applyBorder="1" applyAlignment="1">
      <alignment horizontal="center" vertical="center"/>
    </xf>
    <xf numFmtId="0" fontId="6" fillId="6" borderId="7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1" fillId="0" borderId="11" xfId="1" applyBorder="1" applyAlignment="1">
      <alignment horizontal="center"/>
    </xf>
    <xf numFmtId="0" fontId="1" fillId="0" borderId="1" xfId="1" applyBorder="1" applyAlignment="1">
      <alignment horizontal="center"/>
    </xf>
    <xf numFmtId="0" fontId="1" fillId="0" borderId="29" xfId="1" applyBorder="1" applyAlignment="1">
      <alignment horizontal="center"/>
    </xf>
    <xf numFmtId="0" fontId="1" fillId="7" borderId="13" xfId="1" applyFill="1" applyBorder="1" applyAlignment="1">
      <alignment horizontal="center"/>
    </xf>
    <xf numFmtId="0" fontId="1" fillId="7" borderId="1" xfId="1" applyFill="1" applyBorder="1"/>
    <xf numFmtId="0" fontId="1" fillId="7" borderId="30" xfId="1" applyFill="1" applyBorder="1" applyAlignment="1">
      <alignment horizontal="center"/>
    </xf>
    <xf numFmtId="0" fontId="1" fillId="7" borderId="12" xfId="1" applyFill="1" applyBorder="1" applyAlignment="1">
      <alignment horizontal="center"/>
    </xf>
    <xf numFmtId="0" fontId="1" fillId="0" borderId="13" xfId="1" applyBorder="1" applyAlignment="1">
      <alignment horizontal="center"/>
    </xf>
    <xf numFmtId="0" fontId="1" fillId="0" borderId="30" xfId="1" applyBorder="1" applyAlignment="1">
      <alignment horizontal="center"/>
    </xf>
    <xf numFmtId="0" fontId="1" fillId="0" borderId="12" xfId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2" fillId="7" borderId="12" xfId="1" applyFont="1" applyFill="1" applyBorder="1" applyAlignment="1">
      <alignment horizontal="center"/>
    </xf>
    <xf numFmtId="0" fontId="1" fillId="0" borderId="16" xfId="1" applyBorder="1" applyAlignment="1">
      <alignment horizontal="center"/>
    </xf>
    <xf numFmtId="164" fontId="1" fillId="0" borderId="1" xfId="1" applyNumberFormat="1" applyBorder="1"/>
    <xf numFmtId="165" fontId="1" fillId="0" borderId="1" xfId="1" applyNumberFormat="1" applyBorder="1"/>
    <xf numFmtId="0" fontId="7" fillId="0" borderId="1" xfId="1" applyFont="1" applyBorder="1" applyAlignment="1">
      <alignment horizontal="center"/>
    </xf>
    <xf numFmtId="0" fontId="6" fillId="8" borderId="1" xfId="1" applyFont="1" applyFill="1" applyBorder="1"/>
    <xf numFmtId="165" fontId="6" fillId="6" borderId="1" xfId="1" applyNumberFormat="1" applyFont="1" applyFill="1" applyBorder="1"/>
    <xf numFmtId="0" fontId="13" fillId="9" borderId="1" xfId="1" applyFont="1" applyFill="1" applyBorder="1" applyAlignment="1">
      <alignment horizontal="center" vertical="center"/>
    </xf>
    <xf numFmtId="1" fontId="5" fillId="4" borderId="0" xfId="1" applyNumberFormat="1" applyFont="1" applyFill="1" applyAlignment="1">
      <alignment horizontal="center" vertical="center"/>
    </xf>
    <xf numFmtId="1" fontId="9" fillId="5" borderId="8" xfId="1" applyNumberFormat="1" applyFont="1" applyFill="1" applyBorder="1" applyAlignment="1">
      <alignment horizontal="center" vertical="center"/>
    </xf>
    <xf numFmtId="1" fontId="3" fillId="4" borderId="5" xfId="1" applyNumberFormat="1" applyFont="1" applyFill="1" applyBorder="1" applyAlignment="1">
      <alignment horizontal="center" vertical="center"/>
    </xf>
    <xf numFmtId="1" fontId="3" fillId="4" borderId="4" xfId="1" applyNumberFormat="1" applyFont="1" applyFill="1" applyBorder="1" applyAlignment="1">
      <alignment horizontal="center" vertical="center"/>
    </xf>
    <xf numFmtId="1" fontId="3" fillId="4" borderId="2" xfId="1" applyNumberFormat="1" applyFont="1" applyFill="1" applyBorder="1" applyAlignment="1">
      <alignment horizontal="center" vertical="center"/>
    </xf>
    <xf numFmtId="1" fontId="3" fillId="4" borderId="0" xfId="1" applyNumberFormat="1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11" borderId="0" xfId="0" applyFill="1"/>
    <xf numFmtId="0" fontId="0" fillId="10" borderId="1" xfId="0" applyFill="1" applyBorder="1"/>
    <xf numFmtId="0" fontId="6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9" fillId="3" borderId="21" xfId="1" applyFont="1" applyFill="1" applyBorder="1" applyAlignment="1">
      <alignment horizontal="center"/>
    </xf>
    <xf numFmtId="0" fontId="9" fillId="3" borderId="22" xfId="1" applyFont="1" applyFill="1" applyBorder="1" applyAlignment="1">
      <alignment horizontal="center"/>
    </xf>
    <xf numFmtId="0" fontId="8" fillId="3" borderId="2" xfId="1" applyFont="1" applyFill="1" applyBorder="1" applyAlignment="1">
      <alignment horizontal="center" vertical="center"/>
    </xf>
    <xf numFmtId="0" fontId="8" fillId="3" borderId="3" xfId="1" applyFont="1" applyFill="1" applyBorder="1" applyAlignment="1">
      <alignment horizontal="center" vertical="center"/>
    </xf>
    <xf numFmtId="0" fontId="8" fillId="3" borderId="4" xfId="1" applyFont="1" applyFill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9" fillId="5" borderId="4" xfId="1" applyFont="1" applyFill="1" applyBorder="1" applyAlignment="1">
      <alignment horizontal="left" vertical="center"/>
    </xf>
    <xf numFmtId="0" fontId="9" fillId="5" borderId="10" xfId="1" applyFont="1" applyFill="1" applyBorder="1" applyAlignment="1">
      <alignment horizontal="left" vertical="center"/>
    </xf>
    <xf numFmtId="0" fontId="9" fillId="5" borderId="8" xfId="1" applyFont="1" applyFill="1" applyBorder="1" applyAlignment="1">
      <alignment horizontal="left" vertical="center"/>
    </xf>
    <xf numFmtId="0" fontId="9" fillId="5" borderId="18" xfId="1" applyFont="1" applyFill="1" applyBorder="1" applyAlignment="1">
      <alignment horizontal="left" vertical="center"/>
    </xf>
    <xf numFmtId="0" fontId="9" fillId="5" borderId="1" xfId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/>
    </xf>
    <xf numFmtId="0" fontId="6" fillId="2" borderId="15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/>
    </xf>
    <xf numFmtId="0" fontId="6" fillId="6" borderId="1" xfId="1" applyFont="1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center"/>
    </xf>
    <xf numFmtId="0" fontId="6" fillId="0" borderId="27" xfId="1" applyFont="1" applyBorder="1" applyAlignment="1">
      <alignment horizontal="center"/>
    </xf>
    <xf numFmtId="0" fontId="1" fillId="0" borderId="2" xfId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27" xfId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f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77304</xdr:colOff>
      <xdr:row>8</xdr:row>
      <xdr:rowOff>124885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0"/>
          <a:ext cx="7631043" cy="16267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Century" panose="02040604050505020304" pitchFamily="18" charset="0"/>
            </a:rPr>
            <a:t>Distribusi</a:t>
          </a:r>
          <a:r>
            <a:rPr lang="en-US" sz="3600" baseline="0">
              <a:latin typeface="Century" panose="02040604050505020304" pitchFamily="18" charset="0"/>
            </a:rPr>
            <a:t> LPG dengan </a:t>
          </a:r>
          <a:r>
            <a:rPr lang="en-US" sz="3600">
              <a:latin typeface="Century" panose="02040604050505020304" pitchFamily="18" charset="0"/>
            </a:rPr>
            <a:t>VRP Simultaneous</a:t>
          </a:r>
          <a:r>
            <a:rPr lang="en-US" sz="3600" baseline="0">
              <a:latin typeface="Century" panose="02040604050505020304" pitchFamily="18" charset="0"/>
            </a:rPr>
            <a:t> Delivery and Pickup</a:t>
          </a:r>
          <a:endParaRPr lang="en-US" sz="3600">
            <a:latin typeface="Century" panose="02040604050505020304" pitchFamily="18" charset="0"/>
          </a:endParaRPr>
        </a:p>
      </xdr:txBody>
    </xdr:sp>
    <xdr:clientData/>
  </xdr:twoCellAnchor>
  <xdr:twoCellAnchor editAs="oneCell">
    <xdr:from>
      <xdr:col>11</xdr:col>
      <xdr:colOff>180377</xdr:colOff>
      <xdr:row>0</xdr:row>
      <xdr:rowOff>0</xdr:rowOff>
    </xdr:from>
    <xdr:to>
      <xdr:col>14</xdr:col>
      <xdr:colOff>298909</xdr:colOff>
      <xdr:row>8</xdr:row>
      <xdr:rowOff>27516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4638" y="0"/>
          <a:ext cx="2006967" cy="1529429"/>
        </a:xfrm>
        <a:prstGeom prst="rect">
          <a:avLst/>
        </a:prstGeom>
      </xdr:spPr>
    </xdr:pic>
    <xdr:clientData/>
  </xdr:twoCellAnchor>
  <xdr:twoCellAnchor editAs="oneCell">
    <xdr:from>
      <xdr:col>13</xdr:col>
      <xdr:colOff>354553</xdr:colOff>
      <xdr:row>0</xdr:row>
      <xdr:rowOff>115186</xdr:rowOff>
    </xdr:from>
    <xdr:to>
      <xdr:col>16</xdr:col>
      <xdr:colOff>14941</xdr:colOff>
      <xdr:row>9</xdr:row>
      <xdr:rowOff>1487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34714" y1="12429" x2="56857" y2="10429"/>
                      <a14:foregroundMark x1="56857" y1="10429" x2="59286" y2="1071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7770" y="115186"/>
          <a:ext cx="1548823" cy="1575953"/>
        </a:xfrm>
        <a:prstGeom prst="rect">
          <a:avLst/>
        </a:prstGeom>
      </xdr:spPr>
    </xdr:pic>
    <xdr:clientData/>
  </xdr:twoCellAnchor>
  <xdr:twoCellAnchor>
    <xdr:from>
      <xdr:col>0</xdr:col>
      <xdr:colOff>284924</xdr:colOff>
      <xdr:row>24</xdr:row>
      <xdr:rowOff>174487</xdr:rowOff>
    </xdr:from>
    <xdr:to>
      <xdr:col>6</xdr:col>
      <xdr:colOff>397566</xdr:colOff>
      <xdr:row>34</xdr:row>
      <xdr:rowOff>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4924" y="4680226"/>
          <a:ext cx="3955772" cy="1702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>
              <a:solidFill>
                <a:schemeClr val="accent6">
                  <a:lumMod val="50000"/>
                </a:schemeClr>
              </a:solidFill>
              <a:latin typeface="Century" panose="02040604050505020304" pitchFamily="18" charset="0"/>
            </a:rPr>
            <a:t>ASUMSI</a:t>
          </a:r>
        </a:p>
        <a:p>
          <a:pPr algn="l"/>
          <a:r>
            <a:rPr lang="en-US" sz="1400" b="1">
              <a:latin typeface="Century" panose="02040604050505020304" pitchFamily="18" charset="0"/>
            </a:rPr>
            <a:t>1. LPG</a:t>
          </a:r>
          <a:r>
            <a:rPr lang="en-US" sz="1400" b="1" baseline="0">
              <a:latin typeface="Century" panose="02040604050505020304" pitchFamily="18" charset="0"/>
            </a:rPr>
            <a:t> dikirimkan dari node 0 (Depo)</a:t>
          </a:r>
        </a:p>
        <a:p>
          <a:pPr algn="l"/>
          <a:r>
            <a:rPr lang="en-US" sz="1400" b="1" baseline="0">
              <a:latin typeface="Century" panose="02040604050505020304" pitchFamily="18" charset="0"/>
            </a:rPr>
            <a:t>2. Truk yang digunakan memiliki kapasitas yang sama</a:t>
          </a:r>
        </a:p>
        <a:p>
          <a:pPr algn="l"/>
          <a:r>
            <a:rPr lang="en-US" sz="1400" b="1" baseline="0">
              <a:latin typeface="Century" panose="02040604050505020304" pitchFamily="18" charset="0"/>
            </a:rPr>
            <a:t>3. Seluruh permintaan pada tiap node terpenuhi</a:t>
          </a:r>
          <a:endParaRPr lang="en-US" sz="1400" b="1">
            <a:latin typeface="Century" panose="02040604050505020304" pitchFamily="18" charset="0"/>
          </a:endParaRPr>
        </a:p>
        <a:p>
          <a:pPr algn="l"/>
          <a:endParaRPr lang="en-US" sz="2000" b="1">
            <a:latin typeface="Century" panose="02040604050505020304" pitchFamily="18" charset="0"/>
          </a:endParaRPr>
        </a:p>
        <a:p>
          <a:pPr algn="l"/>
          <a:endParaRPr lang="en-US" sz="1400" b="0">
            <a:latin typeface="Century" panose="02040604050505020304" pitchFamily="18" charset="0"/>
          </a:endParaRPr>
        </a:p>
      </xdr:txBody>
    </xdr:sp>
    <xdr:clientData/>
  </xdr:twoCellAnchor>
  <xdr:twoCellAnchor>
    <xdr:from>
      <xdr:col>0</xdr:col>
      <xdr:colOff>293756</xdr:colOff>
      <xdr:row>9</xdr:row>
      <xdr:rowOff>6625</xdr:rowOff>
    </xdr:from>
    <xdr:to>
      <xdr:col>6</xdr:col>
      <xdr:colOff>298174</xdr:colOff>
      <xdr:row>24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93756" y="1696277"/>
          <a:ext cx="3847548" cy="280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>
              <a:solidFill>
                <a:schemeClr val="accent6">
                  <a:lumMod val="50000"/>
                </a:schemeClr>
              </a:solidFill>
              <a:latin typeface="Century" panose="02040604050505020304" pitchFamily="18" charset="0"/>
            </a:rPr>
            <a:t>CARA</a:t>
          </a:r>
          <a:r>
            <a:rPr lang="en-US" sz="2000" b="1" baseline="0">
              <a:solidFill>
                <a:schemeClr val="accent6">
                  <a:lumMod val="50000"/>
                </a:schemeClr>
              </a:solidFill>
              <a:latin typeface="Century" panose="02040604050505020304" pitchFamily="18" charset="0"/>
            </a:rPr>
            <a:t> PENGGUNAAN</a:t>
          </a:r>
          <a:endParaRPr lang="en-US" sz="2000" b="1">
            <a:solidFill>
              <a:schemeClr val="accent6">
                <a:lumMod val="50000"/>
              </a:schemeClr>
            </a:solidFill>
            <a:latin typeface="Century" panose="02040604050505020304" pitchFamily="18" charset="0"/>
          </a:endParaRPr>
        </a:p>
        <a:p>
          <a:pPr algn="l"/>
          <a:r>
            <a:rPr lang="en-US" sz="1400" b="1">
              <a:latin typeface="Century" panose="02040604050505020304" pitchFamily="18" charset="0"/>
            </a:rPr>
            <a:t>1. Tekan tombol start</a:t>
          </a:r>
        </a:p>
        <a:p>
          <a:pPr algn="l"/>
          <a:r>
            <a:rPr lang="en-US" sz="1400" b="1" baseline="0">
              <a:latin typeface="Century" panose="02040604050505020304" pitchFamily="18" charset="0"/>
            </a:rPr>
            <a:t>2. Masukkan data input yang dibutuhkan</a:t>
          </a:r>
        </a:p>
        <a:p>
          <a:pPr algn="l"/>
          <a:r>
            <a:rPr lang="en-US" sz="1400" b="1" baseline="0">
              <a:latin typeface="Century" panose="02040604050505020304" pitchFamily="18" charset="0"/>
            </a:rPr>
            <a:t>3. Klik tombol random data untuk melihat koordinat node</a:t>
          </a:r>
        </a:p>
        <a:p>
          <a:pPr algn="l"/>
          <a:r>
            <a:rPr lang="en-US" sz="1400" b="1" baseline="0">
              <a:latin typeface="Century" panose="02040604050505020304" pitchFamily="18" charset="0"/>
            </a:rPr>
            <a:t>4. Klik tombol "Matrix Distance" untuk melihat jarak antar node</a:t>
          </a:r>
        </a:p>
        <a:p>
          <a:pPr algn="l"/>
          <a:r>
            <a:rPr lang="en-US" sz="1400" b="1" baseline="0">
              <a:latin typeface="Century" panose="02040604050505020304" pitchFamily="18" charset="0"/>
            </a:rPr>
            <a:t>5. Klik tombol "Solution" untuk melihat rute</a:t>
          </a:r>
        </a:p>
        <a:p>
          <a:pPr algn="l"/>
          <a:r>
            <a:rPr lang="en-US" sz="1400" b="1" baseline="0">
              <a:latin typeface="Century" panose="02040604050505020304" pitchFamily="18" charset="0"/>
            </a:rPr>
            <a:t>6. Klik tombol "Total Cost" untuk mengetahui jumlah cost yang dibutuhkan pada tiap rute</a:t>
          </a:r>
        </a:p>
        <a:p>
          <a:pPr algn="l"/>
          <a:endParaRPr lang="en-US" sz="1400" b="1">
            <a:latin typeface="Century" panose="02040604050505020304" pitchFamily="18" charset="0"/>
          </a:endParaRPr>
        </a:p>
        <a:p>
          <a:pPr algn="l"/>
          <a:endParaRPr lang="en-US" sz="2000" b="1">
            <a:latin typeface="Century" panose="02040604050505020304" pitchFamily="18" charset="0"/>
          </a:endParaRPr>
        </a:p>
        <a:p>
          <a:pPr algn="l"/>
          <a:endParaRPr lang="en-US" sz="1400" b="0">
            <a:latin typeface="Century" panose="02040604050505020304" pitchFamily="18" charset="0"/>
          </a:endParaRPr>
        </a:p>
      </xdr:txBody>
    </xdr:sp>
    <xdr:clientData/>
  </xdr:twoCellAnchor>
  <xdr:twoCellAnchor editAs="oneCell">
    <xdr:from>
      <xdr:col>6</xdr:col>
      <xdr:colOff>485915</xdr:colOff>
      <xdr:row>12</xdr:row>
      <xdr:rowOff>176695</xdr:rowOff>
    </xdr:from>
    <xdr:to>
      <xdr:col>15</xdr:col>
      <xdr:colOff>187742</xdr:colOff>
      <xdr:row>30</xdr:row>
      <xdr:rowOff>151848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2785" y="2429565"/>
          <a:ext cx="5367131" cy="33544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8</xdr:row>
          <xdr:rowOff>127000</xdr:rowOff>
        </xdr:from>
        <xdr:to>
          <xdr:col>12</xdr:col>
          <xdr:colOff>209550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d-ID" sz="2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Mulai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241422</xdr:colOff>
      <xdr:row>0</xdr:row>
      <xdr:rowOff>90468</xdr:rowOff>
    </xdr:from>
    <xdr:to>
      <xdr:col>7</xdr:col>
      <xdr:colOff>555789</xdr:colOff>
      <xdr:row>19</xdr:row>
      <xdr:rowOff>51955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149" y="90468"/>
          <a:ext cx="4115708" cy="4239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8</xdr:row>
          <xdr:rowOff>222250</xdr:rowOff>
        </xdr:from>
        <xdr:to>
          <xdr:col>6</xdr:col>
          <xdr:colOff>571500</xdr:colOff>
          <xdr:row>11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d-ID" sz="2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Matrix 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12</xdr:row>
          <xdr:rowOff>19050</xdr:rowOff>
        </xdr:from>
        <xdr:to>
          <xdr:col>6</xdr:col>
          <xdr:colOff>565150</xdr:colOff>
          <xdr:row>14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d-ID" sz="2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5</xdr:row>
          <xdr:rowOff>209550</xdr:rowOff>
        </xdr:from>
        <xdr:to>
          <xdr:col>6</xdr:col>
          <xdr:colOff>565150</xdr:colOff>
          <xdr:row>7</xdr:row>
          <xdr:rowOff>209550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d-ID" sz="2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556517</xdr:colOff>
      <xdr:row>0</xdr:row>
      <xdr:rowOff>41215</xdr:rowOff>
    </xdr:from>
    <xdr:to>
      <xdr:col>2</xdr:col>
      <xdr:colOff>626601</xdr:colOff>
      <xdr:row>1</xdr:row>
      <xdr:rowOff>204717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56517" y="41215"/>
          <a:ext cx="2416017" cy="386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>
              <a:latin typeface="Century" panose="02040604050505020304" pitchFamily="18" charset="0"/>
            </a:rPr>
            <a:t>Masukkan Disini!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21772</xdr:colOff>
      <xdr:row>12</xdr:row>
      <xdr:rowOff>141515</xdr:rowOff>
    </xdr:from>
    <xdr:to>
      <xdr:col>11</xdr:col>
      <xdr:colOff>543675</xdr:colOff>
      <xdr:row>16</xdr:row>
      <xdr:rowOff>76200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540829" y="2754086"/>
          <a:ext cx="2416017" cy="8055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Century" panose="02040604050505020304" pitchFamily="18" charset="0"/>
            </a:rPr>
            <a:t>Location</a:t>
          </a:r>
        </a:p>
      </xdr:txBody>
    </xdr:sp>
    <xdr:clientData/>
  </xdr:twoCellAnchor>
  <xdr:twoCellAnchor editAs="oneCell">
    <xdr:from>
      <xdr:col>8</xdr:col>
      <xdr:colOff>122489</xdr:colOff>
      <xdr:row>1</xdr:row>
      <xdr:rowOff>119744</xdr:rowOff>
    </xdr:from>
    <xdr:to>
      <xdr:col>11</xdr:col>
      <xdr:colOff>248450</xdr:colOff>
      <xdr:row>12</xdr:row>
      <xdr:rowOff>87087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546" y="337458"/>
          <a:ext cx="2020075" cy="2362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51957</xdr:colOff>
      <xdr:row>0</xdr:row>
      <xdr:rowOff>34636</xdr:rowOff>
    </xdr:from>
    <xdr:to>
      <xdr:col>24</xdr:col>
      <xdr:colOff>259773</xdr:colOff>
      <xdr:row>4</xdr:row>
      <xdr:rowOff>121228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1430002" y="34636"/>
          <a:ext cx="4000498" cy="7793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Century" panose="02040604050505020304" pitchFamily="18" charset="0"/>
            </a:rPr>
            <a:t>Distance Matrix</a:t>
          </a:r>
        </a:p>
      </xdr:txBody>
    </xdr:sp>
    <xdr:clientData/>
  </xdr:twoCellAnchor>
  <xdr:twoCellAnchor editAs="oneCell">
    <xdr:from>
      <xdr:col>18</xdr:col>
      <xdr:colOff>290414</xdr:colOff>
      <xdr:row>4</xdr:row>
      <xdr:rowOff>60614</xdr:rowOff>
    </xdr:from>
    <xdr:to>
      <xdr:col>22</xdr:col>
      <xdr:colOff>220436</xdr:colOff>
      <xdr:row>18</xdr:row>
      <xdr:rowOff>8659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459" y="753341"/>
          <a:ext cx="2458477" cy="23725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213360</xdr:colOff>
      <xdr:row>3</xdr:row>
      <xdr:rowOff>81280</xdr:rowOff>
    </xdr:from>
    <xdr:to>
      <xdr:col>18</xdr:col>
      <xdr:colOff>452120</xdr:colOff>
      <xdr:row>25</xdr:row>
      <xdr:rowOff>31115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8320" y="751840"/>
          <a:ext cx="4648200" cy="4867275"/>
        </a:xfrm>
        <a:prstGeom prst="rect">
          <a:avLst/>
        </a:prstGeom>
      </xdr:spPr>
    </xdr:pic>
    <xdr:clientData/>
  </xdr:twoCellAnchor>
  <xdr:twoCellAnchor>
    <xdr:from>
      <xdr:col>6</xdr:col>
      <xdr:colOff>955040</xdr:colOff>
      <xdr:row>0</xdr:row>
      <xdr:rowOff>121920</xdr:rowOff>
    </xdr:from>
    <xdr:to>
      <xdr:col>8</xdr:col>
      <xdr:colOff>452582</xdr:colOff>
      <xdr:row>4</xdr:row>
      <xdr:rowOff>7159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6360160" y="121920"/>
          <a:ext cx="3602182" cy="7793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Century" panose="02040604050505020304" pitchFamily="18" charset="0"/>
            </a:rPr>
            <a:t>Solution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50800</xdr:rowOff>
        </xdr:from>
        <xdr:to>
          <xdr:col>10</xdr:col>
          <xdr:colOff>952500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id-ID" sz="22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Menghitung Total Cost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8</xdr:row>
          <xdr:rowOff>133350</xdr:rowOff>
        </xdr:from>
        <xdr:to>
          <xdr:col>3</xdr:col>
          <xdr:colOff>184150</xdr:colOff>
          <xdr:row>12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Iterasi Solusi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AppData/Roaming/Microsoft/Excel/coba%20banget%20yg%20bener%20manualny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put"/>
      <sheetName val="Data "/>
      <sheetName val="Distance Matrix"/>
      <sheetName val="Solution"/>
      <sheetName val="Manual"/>
    </sheetNames>
    <sheetDataSet>
      <sheetData sheetId="0"/>
      <sheetData sheetId="1">
        <row r="3">
          <cell r="E3">
            <v>560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showGridLines="0" zoomScale="69" zoomScaleNormal="250" workbookViewId="0">
      <selection activeCell="S21" sqref="S21"/>
    </sheetView>
  </sheetViews>
  <sheetFormatPr defaultColWidth="9.26953125" defaultRowHeight="14.5" x14ac:dyDescent="0.35"/>
  <cols>
    <col min="1" max="16384" width="9.26953125" style="18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4.CommandButton1_Click">
                <anchor moveWithCells="1" sizeWithCells="1">
                  <from>
                    <xdr:col>9</xdr:col>
                    <xdr:colOff>552450</xdr:colOff>
                    <xdr:row>8</xdr:row>
                    <xdr:rowOff>127000</xdr:rowOff>
                  </from>
                  <to>
                    <xdr:col>12</xdr:col>
                    <xdr:colOff>209550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D17"/>
  <sheetViews>
    <sheetView showGridLines="0" zoomScale="89" zoomScaleNormal="60" workbookViewId="0">
      <selection activeCell="C9" sqref="C9"/>
    </sheetView>
  </sheetViews>
  <sheetFormatPr defaultColWidth="9.26953125" defaultRowHeight="17.5" x14ac:dyDescent="0.35"/>
  <cols>
    <col min="1" max="1" width="9.26953125" style="16"/>
    <col min="2" max="2" width="25" style="16" customWidth="1"/>
    <col min="3" max="3" width="9.26953125" style="16" customWidth="1"/>
    <col min="4" max="4" width="9.26953125" style="16"/>
    <col min="5" max="5" width="27.7265625" style="16" bestFit="1" customWidth="1"/>
    <col min="6" max="7" width="9.26953125" style="16"/>
    <col min="8" max="8" width="17.54296875" style="16" bestFit="1" customWidth="1"/>
    <col min="9" max="16384" width="9.26953125" style="16"/>
  </cols>
  <sheetData>
    <row r="1" spans="2:82" x14ac:dyDescent="0.3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</row>
    <row r="2" spans="2:82" ht="18" thickBot="1" x14ac:dyDescent="0.4"/>
    <row r="3" spans="2:82" ht="18" thickBot="1" x14ac:dyDescent="0.4">
      <c r="B3" s="32" t="s">
        <v>0</v>
      </c>
      <c r="C3" s="33">
        <v>15</v>
      </c>
    </row>
    <row r="4" spans="2:82" ht="18" thickBot="1" x14ac:dyDescent="0.4"/>
    <row r="5" spans="2:82" x14ac:dyDescent="0.35">
      <c r="B5" s="94" t="s">
        <v>1</v>
      </c>
      <c r="C5" s="95"/>
    </row>
    <row r="6" spans="2:82" x14ac:dyDescent="0.35">
      <c r="B6" s="34" t="s">
        <v>2</v>
      </c>
      <c r="C6" s="35">
        <v>30</v>
      </c>
    </row>
    <row r="7" spans="2:82" ht="18" thickBot="1" x14ac:dyDescent="0.4">
      <c r="B7" s="36" t="s">
        <v>3</v>
      </c>
      <c r="C7" s="37">
        <v>0</v>
      </c>
    </row>
    <row r="8" spans="2:82" ht="18" thickBot="1" x14ac:dyDescent="0.4"/>
    <row r="9" spans="2:82" ht="18" thickBot="1" x14ac:dyDescent="0.4">
      <c r="B9" s="38" t="s">
        <v>4</v>
      </c>
      <c r="C9" s="39">
        <v>560</v>
      </c>
      <c r="D9" s="17"/>
      <c r="E9" s="17"/>
      <c r="F9" s="17"/>
      <c r="G9" s="17"/>
    </row>
    <row r="10" spans="2:82" ht="18" thickBot="1" x14ac:dyDescent="0.4">
      <c r="B10" s="17"/>
      <c r="C10" s="17"/>
      <c r="D10" s="17"/>
      <c r="E10" s="17"/>
      <c r="F10" s="17"/>
      <c r="G10" s="17"/>
    </row>
    <row r="11" spans="2:82" x14ac:dyDescent="0.35">
      <c r="B11" s="94" t="s">
        <v>5</v>
      </c>
      <c r="C11" s="95"/>
    </row>
    <row r="12" spans="2:82" x14ac:dyDescent="0.35">
      <c r="B12" s="34" t="s">
        <v>2</v>
      </c>
      <c r="C12" s="35">
        <v>200</v>
      </c>
    </row>
    <row r="13" spans="2:82" ht="18" thickBot="1" x14ac:dyDescent="0.4">
      <c r="B13" s="36" t="s">
        <v>3</v>
      </c>
      <c r="C13" s="37">
        <v>100</v>
      </c>
    </row>
    <row r="14" spans="2:82" ht="18" thickBot="1" x14ac:dyDescent="0.4"/>
    <row r="15" spans="2:82" x14ac:dyDescent="0.35">
      <c r="B15" s="94" t="s">
        <v>6</v>
      </c>
      <c r="C15" s="95"/>
    </row>
    <row r="16" spans="2:82" x14ac:dyDescent="0.35">
      <c r="B16" s="34" t="s">
        <v>2</v>
      </c>
      <c r="C16" s="35">
        <v>200</v>
      </c>
    </row>
    <row r="17" spans="2:3" ht="18" thickBot="1" x14ac:dyDescent="0.4">
      <c r="B17" s="36" t="s">
        <v>3</v>
      </c>
      <c r="C17" s="37">
        <v>100</v>
      </c>
    </row>
  </sheetData>
  <mergeCells count="3">
    <mergeCell ref="B5:C5"/>
    <mergeCell ref="B15:C15"/>
    <mergeCell ref="B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CommandButton2_Click">
                <anchor moveWithCells="1" sizeWithCells="1">
                  <from>
                    <xdr:col>4</xdr:col>
                    <xdr:colOff>203200</xdr:colOff>
                    <xdr:row>8</xdr:row>
                    <xdr:rowOff>222250</xdr:rowOff>
                  </from>
                  <to>
                    <xdr:col>6</xdr:col>
                    <xdr:colOff>571500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CommandButton3_Click">
                <anchor moveWithCells="1" sizeWithCells="1">
                  <from>
                    <xdr:col>4</xdr:col>
                    <xdr:colOff>190500</xdr:colOff>
                    <xdr:row>12</xdr:row>
                    <xdr:rowOff>19050</xdr:rowOff>
                  </from>
                  <to>
                    <xdr:col>6</xdr:col>
                    <xdr:colOff>565150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CommandButton1_Click">
                <anchor moveWithCells="1" sizeWithCells="1">
                  <from>
                    <xdr:col>4</xdr:col>
                    <xdr:colOff>209550</xdr:colOff>
                    <xdr:row>5</xdr:row>
                    <xdr:rowOff>209550</xdr:rowOff>
                  </from>
                  <to>
                    <xdr:col>6</xdr:col>
                    <xdr:colOff>565150</xdr:colOff>
                    <xdr:row>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28"/>
  <sheetViews>
    <sheetView showGridLines="0" zoomScale="70" zoomScaleNormal="85" workbookViewId="0">
      <selection activeCell="F16" sqref="F16"/>
    </sheetView>
  </sheetViews>
  <sheetFormatPr defaultColWidth="9.26953125" defaultRowHeight="17.5" x14ac:dyDescent="0.35"/>
  <cols>
    <col min="1" max="1" width="9.26953125" style="22"/>
    <col min="2" max="2" width="10.26953125" style="22" bestFit="1" customWidth="1"/>
    <col min="3" max="4" width="9.26953125" style="22"/>
    <col min="5" max="5" width="11.453125" style="22" bestFit="1" customWidth="1"/>
    <col min="6" max="6" width="12.26953125" style="22" bestFit="1" customWidth="1"/>
    <col min="7" max="7" width="9.7265625" style="22" bestFit="1" customWidth="1"/>
    <col min="8" max="16384" width="9.26953125" style="22"/>
  </cols>
  <sheetData>
    <row r="2" spans="2:7" x14ac:dyDescent="0.35">
      <c r="B2" s="96" t="s">
        <v>7</v>
      </c>
      <c r="C2" s="97" t="s">
        <v>1</v>
      </c>
      <c r="D2" s="98"/>
      <c r="E2" s="96" t="s">
        <v>6</v>
      </c>
      <c r="F2" s="96" t="s">
        <v>5</v>
      </c>
      <c r="G2" s="99" t="s">
        <v>8</v>
      </c>
    </row>
    <row r="3" spans="2:7" x14ac:dyDescent="0.35">
      <c r="B3" s="96"/>
      <c r="C3" s="14" t="s">
        <v>9</v>
      </c>
      <c r="D3" s="14" t="s">
        <v>10</v>
      </c>
      <c r="E3" s="96"/>
      <c r="F3" s="96"/>
      <c r="G3" s="99"/>
    </row>
    <row r="4" spans="2:7" x14ac:dyDescent="0.35">
      <c r="B4" s="26">
        <v>0</v>
      </c>
      <c r="C4" s="26">
        <v>21.17</v>
      </c>
      <c r="D4" s="26">
        <v>16</v>
      </c>
      <c r="E4" s="26"/>
      <c r="F4" s="26"/>
      <c r="G4" s="30"/>
    </row>
    <row r="5" spans="2:7" x14ac:dyDescent="0.35">
      <c r="B5" s="24">
        <v>1</v>
      </c>
      <c r="C5" s="24">
        <v>17.39</v>
      </c>
      <c r="D5" s="24">
        <v>8.69</v>
      </c>
      <c r="E5" s="24">
        <v>159</v>
      </c>
      <c r="F5" s="24">
        <v>199</v>
      </c>
      <c r="G5" s="27">
        <v>1</v>
      </c>
    </row>
    <row r="6" spans="2:7" x14ac:dyDescent="0.35">
      <c r="B6" s="24">
        <v>2</v>
      </c>
      <c r="C6" s="24">
        <v>9.06</v>
      </c>
      <c r="D6" s="24">
        <v>23.24</v>
      </c>
      <c r="E6" s="24">
        <v>191</v>
      </c>
      <c r="F6" s="24">
        <v>123</v>
      </c>
      <c r="G6" s="27">
        <v>1</v>
      </c>
    </row>
    <row r="7" spans="2:7" x14ac:dyDescent="0.35">
      <c r="B7" s="24">
        <v>3</v>
      </c>
      <c r="C7" s="24">
        <v>0.42</v>
      </c>
      <c r="D7" s="24">
        <v>22.82</v>
      </c>
      <c r="E7" s="24">
        <v>170</v>
      </c>
      <c r="F7" s="24">
        <v>198</v>
      </c>
      <c r="G7" s="27">
        <v>1</v>
      </c>
    </row>
    <row r="8" spans="2:7" x14ac:dyDescent="0.35">
      <c r="B8" s="24">
        <v>4</v>
      </c>
      <c r="C8" s="24">
        <v>24.43</v>
      </c>
      <c r="D8" s="24">
        <v>21.27</v>
      </c>
      <c r="E8" s="24">
        <v>124</v>
      </c>
      <c r="F8" s="24">
        <v>153</v>
      </c>
      <c r="G8" s="27">
        <v>1</v>
      </c>
    </row>
    <row r="9" spans="2:7" x14ac:dyDescent="0.35">
      <c r="B9" s="23">
        <v>5</v>
      </c>
      <c r="C9" s="23">
        <v>1.36</v>
      </c>
      <c r="D9" s="23">
        <v>12.42</v>
      </c>
      <c r="E9" s="23">
        <v>111</v>
      </c>
      <c r="F9" s="23">
        <v>200</v>
      </c>
      <c r="G9" s="25">
        <v>1</v>
      </c>
    </row>
    <row r="10" spans="2:7" x14ac:dyDescent="0.35">
      <c r="B10" s="26">
        <v>6</v>
      </c>
      <c r="C10" s="26">
        <v>25.88</v>
      </c>
      <c r="D10" s="26">
        <v>23.71</v>
      </c>
      <c r="E10" s="26">
        <v>168</v>
      </c>
      <c r="F10" s="26">
        <v>102</v>
      </c>
      <c r="G10" s="30">
        <v>1</v>
      </c>
    </row>
    <row r="11" spans="2:7" x14ac:dyDescent="0.35">
      <c r="B11" s="24">
        <v>7</v>
      </c>
      <c r="C11" s="24">
        <v>11.21</v>
      </c>
      <c r="D11" s="24">
        <v>28.86</v>
      </c>
      <c r="E11" s="24">
        <v>158</v>
      </c>
      <c r="F11" s="24">
        <v>110</v>
      </c>
      <c r="G11" s="27">
        <v>1</v>
      </c>
    </row>
    <row r="12" spans="2:7" x14ac:dyDescent="0.35">
      <c r="B12" s="24">
        <v>8</v>
      </c>
      <c r="C12" s="24">
        <v>26.14</v>
      </c>
      <c r="D12" s="24">
        <v>1.69</v>
      </c>
      <c r="E12" s="24">
        <v>110</v>
      </c>
      <c r="F12" s="24">
        <v>180</v>
      </c>
      <c r="G12" s="27">
        <v>1</v>
      </c>
    </row>
    <row r="13" spans="2:7" x14ac:dyDescent="0.35">
      <c r="B13" s="24">
        <v>9</v>
      </c>
      <c r="C13" s="24">
        <v>28.49</v>
      </c>
      <c r="D13" s="24">
        <v>10.92</v>
      </c>
      <c r="E13" s="24">
        <v>128</v>
      </c>
      <c r="F13" s="24">
        <v>102</v>
      </c>
      <c r="G13" s="27">
        <v>1</v>
      </c>
    </row>
    <row r="14" spans="2:7" x14ac:dyDescent="0.35">
      <c r="B14" s="23">
        <v>10</v>
      </c>
      <c r="C14" s="23">
        <v>15.75</v>
      </c>
      <c r="D14" s="23">
        <v>23.01</v>
      </c>
      <c r="E14" s="23">
        <v>130</v>
      </c>
      <c r="F14" s="23">
        <v>138</v>
      </c>
      <c r="G14" s="25">
        <v>1</v>
      </c>
    </row>
    <row r="15" spans="2:7" x14ac:dyDescent="0.35">
      <c r="B15" s="26">
        <v>11</v>
      </c>
      <c r="C15" s="26">
        <v>1.61</v>
      </c>
      <c r="D15" s="26">
        <v>17.77</v>
      </c>
      <c r="E15" s="26">
        <v>130</v>
      </c>
      <c r="F15" s="26">
        <v>195</v>
      </c>
      <c r="G15" s="30">
        <v>1</v>
      </c>
    </row>
    <row r="16" spans="2:7" x14ac:dyDescent="0.35">
      <c r="B16" s="24">
        <v>12</v>
      </c>
      <c r="C16" s="24">
        <v>14.06</v>
      </c>
      <c r="D16" s="24">
        <v>8.94</v>
      </c>
      <c r="E16" s="24">
        <v>140</v>
      </c>
      <c r="F16" s="24">
        <v>140</v>
      </c>
      <c r="G16" s="27">
        <v>1</v>
      </c>
    </row>
    <row r="17" spans="2:7" x14ac:dyDescent="0.35">
      <c r="B17" s="24">
        <v>13</v>
      </c>
      <c r="C17" s="24">
        <v>18.68</v>
      </c>
      <c r="D17" s="24">
        <v>19.43</v>
      </c>
      <c r="E17" s="24">
        <v>128</v>
      </c>
      <c r="F17" s="24">
        <v>100</v>
      </c>
      <c r="G17" s="27">
        <v>1</v>
      </c>
    </row>
    <row r="18" spans="2:7" x14ac:dyDescent="0.35">
      <c r="B18" s="24">
        <v>14</v>
      </c>
      <c r="C18" s="24">
        <v>7.91</v>
      </c>
      <c r="D18" s="24">
        <v>8.3800000000000008</v>
      </c>
      <c r="E18" s="24">
        <v>116</v>
      </c>
      <c r="F18" s="24">
        <v>165</v>
      </c>
      <c r="G18" s="27">
        <v>1</v>
      </c>
    </row>
    <row r="19" spans="2:7" x14ac:dyDescent="0.35">
      <c r="B19" s="23">
        <v>15</v>
      </c>
      <c r="C19" s="23">
        <v>24.89</v>
      </c>
      <c r="D19" s="23">
        <v>24.74</v>
      </c>
      <c r="E19" s="23">
        <v>141</v>
      </c>
      <c r="F19" s="23">
        <v>141</v>
      </c>
      <c r="G19" s="25">
        <v>1</v>
      </c>
    </row>
    <row r="20" spans="2:7" x14ac:dyDescent="0.35">
      <c r="B20" s="31"/>
      <c r="C20" s="31"/>
      <c r="D20" s="31"/>
      <c r="E20" s="31"/>
      <c r="F20" s="31"/>
      <c r="G20" s="31"/>
    </row>
    <row r="21" spans="2:7" x14ac:dyDescent="0.35">
      <c r="B21" s="25"/>
      <c r="C21" s="25"/>
      <c r="D21" s="25"/>
      <c r="E21" s="25"/>
      <c r="F21" s="25"/>
      <c r="G21" s="25"/>
    </row>
    <row r="22" spans="2:7" x14ac:dyDescent="0.35">
      <c r="B22" s="25"/>
      <c r="C22" s="25"/>
      <c r="D22" s="25"/>
      <c r="E22" s="25"/>
      <c r="F22" s="25"/>
      <c r="G22" s="25"/>
    </row>
    <row r="23" spans="2:7" x14ac:dyDescent="0.35">
      <c r="B23" s="27"/>
      <c r="C23" s="27"/>
      <c r="D23" s="27"/>
      <c r="E23" s="27"/>
      <c r="F23" s="27"/>
      <c r="G23" s="27"/>
    </row>
    <row r="24" spans="2:7" x14ac:dyDescent="0.35">
      <c r="B24" s="25"/>
      <c r="C24" s="25"/>
      <c r="D24" s="25"/>
      <c r="E24" s="25"/>
      <c r="F24" s="25"/>
      <c r="G24" s="25"/>
    </row>
    <row r="25" spans="2:7" x14ac:dyDescent="0.35">
      <c r="B25" s="25"/>
      <c r="C25" s="25"/>
      <c r="D25" s="25"/>
      <c r="E25" s="25"/>
      <c r="F25" s="25"/>
      <c r="G25" s="25"/>
    </row>
    <row r="26" spans="2:7" x14ac:dyDescent="0.35">
      <c r="B26" s="25"/>
      <c r="C26" s="25"/>
      <c r="D26" s="25"/>
      <c r="E26" s="25"/>
      <c r="F26" s="25"/>
      <c r="G26" s="25"/>
    </row>
    <row r="27" spans="2:7" x14ac:dyDescent="0.35">
      <c r="B27" s="25"/>
      <c r="C27" s="25"/>
      <c r="D27" s="25"/>
      <c r="E27" s="25"/>
      <c r="F27" s="25"/>
      <c r="G27" s="25"/>
    </row>
    <row r="28" spans="2:7" x14ac:dyDescent="0.35">
      <c r="B28" s="25"/>
      <c r="C28" s="25"/>
      <c r="D28" s="25"/>
      <c r="E28" s="25"/>
      <c r="F28" s="25"/>
      <c r="G28" s="25"/>
    </row>
  </sheetData>
  <mergeCells count="5">
    <mergeCell ref="B2:B3"/>
    <mergeCell ref="C2:D2"/>
    <mergeCell ref="E2:E3"/>
    <mergeCell ref="F2:F3"/>
    <mergeCell ref="G2:G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2:AB28"/>
  <sheetViews>
    <sheetView showGridLines="0" zoomScale="88" workbookViewId="0">
      <selection activeCell="L13" sqref="L13"/>
    </sheetView>
  </sheetViews>
  <sheetFormatPr defaultColWidth="9.26953125" defaultRowHeight="14" x14ac:dyDescent="0.35"/>
  <cols>
    <col min="1" max="16384" width="9.26953125" style="20"/>
  </cols>
  <sheetData>
    <row r="2" spans="2:28" x14ac:dyDescent="0.35">
      <c r="B2" s="77" t="s">
        <v>11</v>
      </c>
      <c r="C2" s="40">
        <v>0</v>
      </c>
      <c r="D2" s="40">
        <v>1</v>
      </c>
      <c r="E2" s="40">
        <v>2</v>
      </c>
      <c r="F2" s="40">
        <v>3</v>
      </c>
      <c r="G2" s="40">
        <v>4</v>
      </c>
      <c r="H2" s="40">
        <v>5</v>
      </c>
      <c r="I2" s="40">
        <v>6</v>
      </c>
      <c r="J2" s="40">
        <v>7</v>
      </c>
      <c r="K2" s="40">
        <v>8</v>
      </c>
      <c r="L2" s="40">
        <v>9</v>
      </c>
      <c r="M2" s="40">
        <v>10</v>
      </c>
      <c r="N2" s="40">
        <v>11</v>
      </c>
      <c r="O2" s="40">
        <v>12</v>
      </c>
      <c r="P2" s="40">
        <v>13</v>
      </c>
      <c r="Q2" s="40">
        <v>14</v>
      </c>
      <c r="R2" s="40">
        <v>15</v>
      </c>
      <c r="S2" s="41"/>
      <c r="T2" s="41"/>
      <c r="U2" s="41"/>
      <c r="V2" s="41"/>
      <c r="W2" s="41"/>
      <c r="X2" s="41"/>
      <c r="Y2" s="41"/>
      <c r="Z2" s="41"/>
      <c r="AA2" s="41"/>
      <c r="AB2" s="41"/>
    </row>
    <row r="3" spans="2:28" x14ac:dyDescent="0.35">
      <c r="B3" s="40">
        <v>0</v>
      </c>
      <c r="C3" s="19">
        <v>24037.48</v>
      </c>
      <c r="D3" s="19">
        <v>8.23</v>
      </c>
      <c r="E3" s="19">
        <v>14.11</v>
      </c>
      <c r="F3" s="19">
        <v>21.84</v>
      </c>
      <c r="G3" s="19">
        <v>6.2</v>
      </c>
      <c r="H3" s="19">
        <v>20.13</v>
      </c>
      <c r="I3" s="19">
        <v>9.0299999999999994</v>
      </c>
      <c r="J3" s="19">
        <v>16.27</v>
      </c>
      <c r="K3" s="19">
        <v>15.15</v>
      </c>
      <c r="L3" s="19">
        <v>8.91</v>
      </c>
      <c r="M3" s="19">
        <v>8.86</v>
      </c>
      <c r="N3" s="19">
        <v>19.64</v>
      </c>
      <c r="O3" s="19">
        <v>10.02</v>
      </c>
      <c r="P3" s="19">
        <v>4.24</v>
      </c>
      <c r="Q3" s="19">
        <v>15.29</v>
      </c>
      <c r="R3" s="19">
        <v>9.5</v>
      </c>
    </row>
    <row r="4" spans="2:28" x14ac:dyDescent="0.35">
      <c r="B4" s="40">
        <v>1</v>
      </c>
      <c r="C4" s="19">
        <v>8.23</v>
      </c>
      <c r="D4" s="19">
        <v>24037.48</v>
      </c>
      <c r="E4" s="19">
        <v>16.77</v>
      </c>
      <c r="F4" s="19">
        <v>22.08</v>
      </c>
      <c r="G4" s="19">
        <v>14.42</v>
      </c>
      <c r="H4" s="19">
        <v>16.46</v>
      </c>
      <c r="I4" s="19">
        <v>17.25</v>
      </c>
      <c r="J4" s="19">
        <v>21.1</v>
      </c>
      <c r="K4" s="19">
        <v>11.21</v>
      </c>
      <c r="L4" s="19">
        <v>11.32</v>
      </c>
      <c r="M4" s="19">
        <v>14.41</v>
      </c>
      <c r="N4" s="19">
        <v>18.21</v>
      </c>
      <c r="O4" s="19">
        <v>3.34</v>
      </c>
      <c r="P4" s="19">
        <v>10.82</v>
      </c>
      <c r="Q4" s="19">
        <v>9.49</v>
      </c>
      <c r="R4" s="19">
        <v>17.72</v>
      </c>
    </row>
    <row r="5" spans="2:28" x14ac:dyDescent="0.35">
      <c r="B5" s="40">
        <v>2</v>
      </c>
      <c r="C5" s="19">
        <v>14.11</v>
      </c>
      <c r="D5" s="19">
        <v>16.77</v>
      </c>
      <c r="E5" s="19">
        <v>24037.48</v>
      </c>
      <c r="F5" s="19">
        <v>8.65</v>
      </c>
      <c r="G5" s="19">
        <v>15.5</v>
      </c>
      <c r="H5" s="19">
        <v>13.28</v>
      </c>
      <c r="I5" s="19">
        <v>16.829999999999998</v>
      </c>
      <c r="J5" s="19">
        <v>6.02</v>
      </c>
      <c r="K5" s="19">
        <v>27.5</v>
      </c>
      <c r="L5" s="19">
        <v>23.01</v>
      </c>
      <c r="M5" s="19">
        <v>6.69</v>
      </c>
      <c r="N5" s="19">
        <v>9.24</v>
      </c>
      <c r="O5" s="19">
        <v>15.15</v>
      </c>
      <c r="P5" s="19">
        <v>10.35</v>
      </c>
      <c r="Q5" s="19">
        <v>14.9</v>
      </c>
      <c r="R5" s="19">
        <v>15.9</v>
      </c>
    </row>
    <row r="6" spans="2:28" x14ac:dyDescent="0.35">
      <c r="B6" s="40">
        <v>3</v>
      </c>
      <c r="C6" s="19">
        <v>21.84</v>
      </c>
      <c r="D6" s="19">
        <v>22.08</v>
      </c>
      <c r="E6" s="19">
        <v>8.65</v>
      </c>
      <c r="F6" s="19">
        <v>24037.48</v>
      </c>
      <c r="G6" s="19">
        <v>24.06</v>
      </c>
      <c r="H6" s="19">
        <v>10.44</v>
      </c>
      <c r="I6" s="19">
        <v>25.48</v>
      </c>
      <c r="J6" s="19">
        <v>12.37</v>
      </c>
      <c r="K6" s="19">
        <v>33.29</v>
      </c>
      <c r="L6" s="19">
        <v>30.49</v>
      </c>
      <c r="M6" s="19">
        <v>15.33</v>
      </c>
      <c r="N6" s="19">
        <v>5.19</v>
      </c>
      <c r="O6" s="19">
        <v>19.46</v>
      </c>
      <c r="P6" s="19">
        <v>18.57</v>
      </c>
      <c r="Q6" s="19">
        <v>16.27</v>
      </c>
      <c r="R6" s="19">
        <v>24.55</v>
      </c>
    </row>
    <row r="7" spans="2:28" x14ac:dyDescent="0.35">
      <c r="B7" s="40">
        <v>4</v>
      </c>
      <c r="C7" s="19">
        <v>6.2</v>
      </c>
      <c r="D7" s="19">
        <v>14.42</v>
      </c>
      <c r="E7" s="19">
        <v>15.5</v>
      </c>
      <c r="F7" s="19">
        <v>24.06</v>
      </c>
      <c r="G7" s="19">
        <v>24037.48</v>
      </c>
      <c r="H7" s="19">
        <v>24.71</v>
      </c>
      <c r="I7" s="19">
        <v>2.84</v>
      </c>
      <c r="J7" s="19">
        <v>15.24</v>
      </c>
      <c r="K7" s="19">
        <v>19.649999999999999</v>
      </c>
      <c r="L7" s="19">
        <v>11.12</v>
      </c>
      <c r="M7" s="19">
        <v>8.85</v>
      </c>
      <c r="N7" s="19">
        <v>23.09</v>
      </c>
      <c r="O7" s="19">
        <v>16.11</v>
      </c>
      <c r="P7" s="19">
        <v>6.04</v>
      </c>
      <c r="Q7" s="19">
        <v>20.95</v>
      </c>
      <c r="R7" s="19">
        <v>3.5</v>
      </c>
    </row>
    <row r="8" spans="2:28" x14ac:dyDescent="0.35">
      <c r="B8" s="40">
        <v>5</v>
      </c>
      <c r="C8" s="19">
        <v>20.13</v>
      </c>
      <c r="D8" s="19">
        <v>16.46</v>
      </c>
      <c r="E8" s="19">
        <v>13.28</v>
      </c>
      <c r="F8" s="19">
        <v>10.44</v>
      </c>
      <c r="G8" s="19">
        <v>24.71</v>
      </c>
      <c r="H8" s="19">
        <v>24037.48</v>
      </c>
      <c r="I8" s="19">
        <v>26.99</v>
      </c>
      <c r="J8" s="19">
        <v>19.16</v>
      </c>
      <c r="K8" s="19">
        <v>27</v>
      </c>
      <c r="L8" s="19">
        <v>27.17</v>
      </c>
      <c r="M8" s="19">
        <v>17.87</v>
      </c>
      <c r="N8" s="19">
        <v>5.36</v>
      </c>
      <c r="O8" s="19">
        <v>13.17</v>
      </c>
      <c r="P8" s="19">
        <v>18.68</v>
      </c>
      <c r="Q8" s="19">
        <v>7.7</v>
      </c>
      <c r="R8" s="19">
        <v>26.56</v>
      </c>
    </row>
    <row r="9" spans="2:28" x14ac:dyDescent="0.35">
      <c r="B9" s="40">
        <v>6</v>
      </c>
      <c r="C9" s="19">
        <v>9.0299999999999994</v>
      </c>
      <c r="D9" s="19">
        <v>17.25</v>
      </c>
      <c r="E9" s="19">
        <v>16.829999999999998</v>
      </c>
      <c r="F9" s="19">
        <v>25.48</v>
      </c>
      <c r="G9" s="19">
        <v>2.84</v>
      </c>
      <c r="H9" s="19">
        <v>26.99</v>
      </c>
      <c r="I9" s="19">
        <v>24037.48</v>
      </c>
      <c r="J9" s="19">
        <v>15.55</v>
      </c>
      <c r="K9" s="19">
        <v>22.02</v>
      </c>
      <c r="L9" s="19">
        <v>13.05</v>
      </c>
      <c r="M9" s="19">
        <v>10.15</v>
      </c>
      <c r="N9" s="19">
        <v>24.99</v>
      </c>
      <c r="O9" s="19">
        <v>18.920000000000002</v>
      </c>
      <c r="P9" s="19">
        <v>8.3800000000000008</v>
      </c>
      <c r="Q9" s="19">
        <v>23.62</v>
      </c>
      <c r="R9" s="19">
        <v>1.43</v>
      </c>
    </row>
    <row r="10" spans="2:28" x14ac:dyDescent="0.35">
      <c r="B10" s="40">
        <v>7</v>
      </c>
      <c r="C10" s="19">
        <v>16.27</v>
      </c>
      <c r="D10" s="19">
        <v>21.1</v>
      </c>
      <c r="E10" s="19">
        <v>6.02</v>
      </c>
      <c r="F10" s="19">
        <v>12.37</v>
      </c>
      <c r="G10" s="19">
        <v>15.24</v>
      </c>
      <c r="H10" s="19">
        <v>19.16</v>
      </c>
      <c r="I10" s="19">
        <v>15.55</v>
      </c>
      <c r="J10" s="19">
        <v>24037.48</v>
      </c>
      <c r="K10" s="19">
        <v>31</v>
      </c>
      <c r="L10" s="19">
        <v>24.91</v>
      </c>
      <c r="M10" s="19">
        <v>7.41</v>
      </c>
      <c r="N10" s="19">
        <v>14.67</v>
      </c>
      <c r="O10" s="19">
        <v>20.12</v>
      </c>
      <c r="P10" s="19">
        <v>12.03</v>
      </c>
      <c r="Q10" s="19">
        <v>20.74</v>
      </c>
      <c r="R10" s="19">
        <v>14.29</v>
      </c>
    </row>
    <row r="11" spans="2:28" x14ac:dyDescent="0.35">
      <c r="B11" s="40">
        <v>8</v>
      </c>
      <c r="C11" s="19">
        <v>15.15</v>
      </c>
      <c r="D11" s="19">
        <v>11.21</v>
      </c>
      <c r="E11" s="19">
        <v>27.5</v>
      </c>
      <c r="F11" s="19">
        <v>33.29</v>
      </c>
      <c r="G11" s="19">
        <v>19.649999999999999</v>
      </c>
      <c r="H11" s="19">
        <v>27</v>
      </c>
      <c r="I11" s="19">
        <v>22.02</v>
      </c>
      <c r="J11" s="19">
        <v>31</v>
      </c>
      <c r="K11" s="19">
        <v>24037.48</v>
      </c>
      <c r="L11" s="19">
        <v>9.52</v>
      </c>
      <c r="M11" s="19">
        <v>23.72</v>
      </c>
      <c r="N11" s="19">
        <v>29.33</v>
      </c>
      <c r="O11" s="19">
        <v>14.09</v>
      </c>
      <c r="P11" s="19">
        <v>19.239999999999998</v>
      </c>
      <c r="Q11" s="19">
        <v>19.420000000000002</v>
      </c>
      <c r="R11" s="19">
        <v>23.08</v>
      </c>
    </row>
    <row r="12" spans="2:28" x14ac:dyDescent="0.35">
      <c r="B12" s="40">
        <v>9</v>
      </c>
      <c r="C12" s="19">
        <v>8.91</v>
      </c>
      <c r="D12" s="19">
        <v>11.32</v>
      </c>
      <c r="E12" s="19">
        <v>23.01</v>
      </c>
      <c r="F12" s="19">
        <v>30.49</v>
      </c>
      <c r="G12" s="19">
        <v>11.12</v>
      </c>
      <c r="H12" s="19">
        <v>27.17</v>
      </c>
      <c r="I12" s="19">
        <v>13.05</v>
      </c>
      <c r="J12" s="19">
        <v>24.91</v>
      </c>
      <c r="K12" s="19">
        <v>9.52</v>
      </c>
      <c r="L12" s="19">
        <v>24037.48</v>
      </c>
      <c r="M12" s="19">
        <v>17.559999999999999</v>
      </c>
      <c r="N12" s="19">
        <v>27.74</v>
      </c>
      <c r="O12" s="19">
        <v>14.57</v>
      </c>
      <c r="P12" s="19">
        <v>12.99</v>
      </c>
      <c r="Q12" s="19">
        <v>20.74</v>
      </c>
      <c r="R12" s="19">
        <v>14.28</v>
      </c>
    </row>
    <row r="13" spans="2:28" x14ac:dyDescent="0.35">
      <c r="B13" s="40">
        <v>10</v>
      </c>
      <c r="C13" s="19">
        <v>8.86</v>
      </c>
      <c r="D13" s="19">
        <v>14.41</v>
      </c>
      <c r="E13" s="19">
        <v>6.69</v>
      </c>
      <c r="F13" s="19">
        <v>15.33</v>
      </c>
      <c r="G13" s="19">
        <v>8.85</v>
      </c>
      <c r="H13" s="19">
        <v>17.87</v>
      </c>
      <c r="I13" s="19">
        <v>10.15</v>
      </c>
      <c r="J13" s="19">
        <v>7.41</v>
      </c>
      <c r="K13" s="19">
        <v>23.72</v>
      </c>
      <c r="L13" s="19">
        <v>17.559999999999999</v>
      </c>
      <c r="M13" s="19">
        <v>24037.48</v>
      </c>
      <c r="N13" s="19">
        <v>15.08</v>
      </c>
      <c r="O13" s="19">
        <v>14.17</v>
      </c>
      <c r="P13" s="19">
        <v>4.63</v>
      </c>
      <c r="Q13" s="19">
        <v>16.600000000000001</v>
      </c>
      <c r="R13" s="19">
        <v>9.3000000000000007</v>
      </c>
    </row>
    <row r="14" spans="2:28" x14ac:dyDescent="0.35">
      <c r="B14" s="40">
        <v>11</v>
      </c>
      <c r="C14" s="19">
        <v>19.64</v>
      </c>
      <c r="D14" s="19">
        <v>18.21</v>
      </c>
      <c r="E14" s="19">
        <v>9.24</v>
      </c>
      <c r="F14" s="19">
        <v>5.19</v>
      </c>
      <c r="G14" s="19">
        <v>23.09</v>
      </c>
      <c r="H14" s="19">
        <v>5.36</v>
      </c>
      <c r="I14" s="19">
        <v>24.99</v>
      </c>
      <c r="J14" s="19">
        <v>14.67</v>
      </c>
      <c r="K14" s="19">
        <v>29.33</v>
      </c>
      <c r="L14" s="19">
        <v>27.74</v>
      </c>
      <c r="M14" s="19">
        <v>15.08</v>
      </c>
      <c r="N14" s="19">
        <v>24037.48</v>
      </c>
      <c r="O14" s="19">
        <v>15.26</v>
      </c>
      <c r="P14" s="19">
        <v>17.149999999999999</v>
      </c>
      <c r="Q14" s="19">
        <v>11.31</v>
      </c>
      <c r="R14" s="19">
        <v>24.3</v>
      </c>
    </row>
    <row r="15" spans="2:28" x14ac:dyDescent="0.35">
      <c r="B15" s="40">
        <v>12</v>
      </c>
      <c r="C15" s="19">
        <v>10.02</v>
      </c>
      <c r="D15" s="19">
        <v>3.34</v>
      </c>
      <c r="E15" s="19">
        <v>15.15</v>
      </c>
      <c r="F15" s="19">
        <v>19.46</v>
      </c>
      <c r="G15" s="19">
        <v>16.11</v>
      </c>
      <c r="H15" s="19">
        <v>13.17</v>
      </c>
      <c r="I15" s="19">
        <v>18.920000000000002</v>
      </c>
      <c r="J15" s="19">
        <v>20.12</v>
      </c>
      <c r="K15" s="19">
        <v>14.09</v>
      </c>
      <c r="L15" s="19">
        <v>14.57</v>
      </c>
      <c r="M15" s="19">
        <v>14.17</v>
      </c>
      <c r="N15" s="19">
        <v>15.26</v>
      </c>
      <c r="O15" s="19">
        <v>24037.48</v>
      </c>
      <c r="P15" s="19">
        <v>11.46</v>
      </c>
      <c r="Q15" s="19">
        <v>6.18</v>
      </c>
      <c r="R15" s="19">
        <v>19.16</v>
      </c>
    </row>
    <row r="16" spans="2:28" x14ac:dyDescent="0.35">
      <c r="B16" s="40">
        <v>13</v>
      </c>
      <c r="C16" s="19">
        <v>4.24</v>
      </c>
      <c r="D16" s="19">
        <v>10.82</v>
      </c>
      <c r="E16" s="19">
        <v>10.35</v>
      </c>
      <c r="F16" s="19">
        <v>18.57</v>
      </c>
      <c r="G16" s="19">
        <v>6.04</v>
      </c>
      <c r="H16" s="19">
        <v>18.68</v>
      </c>
      <c r="I16" s="19">
        <v>8.3800000000000008</v>
      </c>
      <c r="J16" s="19">
        <v>12.03</v>
      </c>
      <c r="K16" s="19">
        <v>19.239999999999998</v>
      </c>
      <c r="L16" s="19">
        <v>12.99</v>
      </c>
      <c r="M16" s="19">
        <v>4.63</v>
      </c>
      <c r="N16" s="19">
        <v>17.149999999999999</v>
      </c>
      <c r="O16" s="19">
        <v>11.46</v>
      </c>
      <c r="P16" s="19">
        <v>24037.48</v>
      </c>
      <c r="Q16" s="19">
        <v>15.43</v>
      </c>
      <c r="R16" s="19">
        <v>8.17</v>
      </c>
    </row>
    <row r="17" spans="2:18" x14ac:dyDescent="0.35">
      <c r="B17" s="40">
        <v>14</v>
      </c>
      <c r="C17" s="19">
        <v>15.29</v>
      </c>
      <c r="D17" s="19">
        <v>9.49</v>
      </c>
      <c r="E17" s="19">
        <v>14.9</v>
      </c>
      <c r="F17" s="19">
        <v>16.27</v>
      </c>
      <c r="G17" s="19">
        <v>20.95</v>
      </c>
      <c r="H17" s="19">
        <v>7.7</v>
      </c>
      <c r="I17" s="19">
        <v>23.62</v>
      </c>
      <c r="J17" s="19">
        <v>20.74</v>
      </c>
      <c r="K17" s="19">
        <v>19.420000000000002</v>
      </c>
      <c r="L17" s="19">
        <v>20.74</v>
      </c>
      <c r="M17" s="19">
        <v>16.600000000000001</v>
      </c>
      <c r="N17" s="19">
        <v>11.31</v>
      </c>
      <c r="O17" s="19">
        <v>6.18</v>
      </c>
      <c r="P17" s="19">
        <v>15.43</v>
      </c>
      <c r="Q17" s="19">
        <v>24037.48</v>
      </c>
      <c r="R17" s="19">
        <v>23.58</v>
      </c>
    </row>
    <row r="18" spans="2:18" x14ac:dyDescent="0.35">
      <c r="B18" s="40">
        <v>15</v>
      </c>
      <c r="C18" s="19">
        <v>9.5</v>
      </c>
      <c r="D18" s="19">
        <v>17.72</v>
      </c>
      <c r="E18" s="19">
        <v>15.9</v>
      </c>
      <c r="F18" s="19">
        <v>24.55</v>
      </c>
      <c r="G18" s="19">
        <v>3.5</v>
      </c>
      <c r="H18" s="19">
        <v>26.56</v>
      </c>
      <c r="I18" s="19">
        <v>1.43</v>
      </c>
      <c r="J18" s="19">
        <v>14.29</v>
      </c>
      <c r="K18" s="19">
        <v>23.08</v>
      </c>
      <c r="L18" s="19">
        <v>14.28</v>
      </c>
      <c r="M18" s="19">
        <v>9.3000000000000007</v>
      </c>
      <c r="N18" s="19">
        <v>24.3</v>
      </c>
      <c r="O18" s="19">
        <v>19.16</v>
      </c>
      <c r="P18" s="19">
        <v>8.17</v>
      </c>
      <c r="Q18" s="19">
        <v>23.58</v>
      </c>
      <c r="R18" s="19">
        <v>24037.48</v>
      </c>
    </row>
    <row r="19" spans="2:18" x14ac:dyDescent="0.35">
      <c r="B19" s="41"/>
    </row>
    <row r="20" spans="2:18" x14ac:dyDescent="0.35">
      <c r="B20" s="41"/>
    </row>
    <row r="21" spans="2:18" x14ac:dyDescent="0.35">
      <c r="B21" s="41"/>
    </row>
    <row r="22" spans="2:18" x14ac:dyDescent="0.35">
      <c r="B22" s="41"/>
    </row>
    <row r="23" spans="2:18" x14ac:dyDescent="0.35">
      <c r="B23" s="41"/>
    </row>
    <row r="24" spans="2:18" x14ac:dyDescent="0.35">
      <c r="B24" s="41"/>
    </row>
    <row r="25" spans="2:18" x14ac:dyDescent="0.35">
      <c r="B25" s="41"/>
    </row>
    <row r="26" spans="2:18" x14ac:dyDescent="0.35">
      <c r="B26" s="41"/>
    </row>
    <row r="27" spans="2:18" x14ac:dyDescent="0.35">
      <c r="B27" s="41"/>
    </row>
    <row r="28" spans="2:18" x14ac:dyDescent="0.35">
      <c r="B28" s="41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D1:AF23"/>
  <sheetViews>
    <sheetView showGridLines="0" topLeftCell="C1" zoomScale="55" zoomScaleNormal="55" workbookViewId="0">
      <selection activeCell="I27" sqref="I27"/>
    </sheetView>
  </sheetViews>
  <sheetFormatPr defaultColWidth="9.26953125" defaultRowHeight="17.5" x14ac:dyDescent="0.35"/>
  <cols>
    <col min="1" max="4" width="9.26953125" style="22"/>
    <col min="5" max="5" width="11.26953125" style="22" bestFit="1" customWidth="1"/>
    <col min="6" max="6" width="30.7265625" style="83" bestFit="1" customWidth="1"/>
    <col min="7" max="7" width="30.7265625" style="22" bestFit="1" customWidth="1"/>
    <col min="8" max="8" width="29" style="22" bestFit="1" customWidth="1"/>
    <col min="9" max="9" width="18.7265625" style="22" bestFit="1" customWidth="1"/>
    <col min="10" max="10" width="18.26953125" style="22" bestFit="1" customWidth="1"/>
    <col min="11" max="11" width="14" style="22" bestFit="1" customWidth="1"/>
    <col min="12" max="16384" width="9.26953125" style="22"/>
  </cols>
  <sheetData>
    <row r="1" spans="4:32" x14ac:dyDescent="0.35">
      <c r="D1" s="21"/>
      <c r="E1" s="21"/>
      <c r="F1" s="78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</row>
    <row r="2" spans="4:32" x14ac:dyDescent="0.35">
      <c r="E2" s="100" t="s">
        <v>12</v>
      </c>
      <c r="F2" s="101"/>
    </row>
    <row r="3" spans="4:32" x14ac:dyDescent="0.35">
      <c r="E3" s="102" t="s">
        <v>13</v>
      </c>
      <c r="F3" s="103"/>
    </row>
    <row r="6" spans="4:32" x14ac:dyDescent="0.35">
      <c r="E6" s="104" t="s">
        <v>14</v>
      </c>
      <c r="F6" s="104"/>
      <c r="G6" s="105"/>
      <c r="H6" s="105"/>
      <c r="I6" s="105"/>
      <c r="J6" s="105"/>
      <c r="K6" s="105"/>
    </row>
    <row r="7" spans="4:32" x14ac:dyDescent="0.35">
      <c r="E7" s="42" t="s">
        <v>15</v>
      </c>
      <c r="F7" s="79" t="s">
        <v>16</v>
      </c>
      <c r="G7" s="43" t="s">
        <v>17</v>
      </c>
      <c r="H7" s="43" t="s">
        <v>18</v>
      </c>
      <c r="I7" s="43" t="s">
        <v>19</v>
      </c>
      <c r="J7" s="44" t="s">
        <v>20</v>
      </c>
      <c r="K7" s="45" t="s">
        <v>21</v>
      </c>
    </row>
    <row r="8" spans="4:32" x14ac:dyDescent="0.35">
      <c r="E8" s="26">
        <v>1</v>
      </c>
      <c r="F8" s="80" t="s">
        <v>22</v>
      </c>
      <c r="G8" s="26">
        <v>534</v>
      </c>
      <c r="H8" s="26">
        <v>487</v>
      </c>
      <c r="I8" s="26">
        <v>20.73</v>
      </c>
      <c r="J8" s="27">
        <v>3133</v>
      </c>
      <c r="K8" s="28">
        <v>64947.090000000004</v>
      </c>
    </row>
    <row r="9" spans="4:32" x14ac:dyDescent="0.35">
      <c r="E9" s="24">
        <v>2</v>
      </c>
      <c r="F9" s="81" t="s">
        <v>23</v>
      </c>
      <c r="G9" s="24">
        <v>431</v>
      </c>
      <c r="H9" s="24">
        <v>519</v>
      </c>
      <c r="I9" s="24">
        <v>29.549999999999997</v>
      </c>
      <c r="J9" s="27">
        <v>3133</v>
      </c>
      <c r="K9" s="29">
        <v>92580.15</v>
      </c>
    </row>
    <row r="10" spans="4:32" x14ac:dyDescent="0.35">
      <c r="E10" s="24">
        <v>3</v>
      </c>
      <c r="F10" s="81" t="s">
        <v>24</v>
      </c>
      <c r="G10" s="24">
        <v>396</v>
      </c>
      <c r="H10" s="24">
        <v>433</v>
      </c>
      <c r="I10" s="24">
        <v>15.969999999999999</v>
      </c>
      <c r="J10" s="27">
        <v>3133</v>
      </c>
      <c r="K10" s="29">
        <v>50034.009999999995</v>
      </c>
    </row>
    <row r="11" spans="4:32" x14ac:dyDescent="0.35">
      <c r="E11" s="24">
        <v>4</v>
      </c>
      <c r="F11" s="81" t="s">
        <v>25</v>
      </c>
      <c r="G11" s="24">
        <v>481</v>
      </c>
      <c r="H11" s="24">
        <v>355</v>
      </c>
      <c r="I11" s="24">
        <v>37.79</v>
      </c>
      <c r="J11" s="27">
        <v>3133</v>
      </c>
      <c r="K11" s="29">
        <v>118396.06999999999</v>
      </c>
    </row>
    <row r="12" spans="4:32" x14ac:dyDescent="0.35">
      <c r="E12" s="24">
        <v>5</v>
      </c>
      <c r="F12" s="81" t="s">
        <v>26</v>
      </c>
      <c r="G12" s="24">
        <v>423</v>
      </c>
      <c r="H12" s="24">
        <v>368</v>
      </c>
      <c r="I12" s="24">
        <v>51.62</v>
      </c>
      <c r="J12" s="25">
        <v>3133</v>
      </c>
      <c r="K12" s="29">
        <v>161725.46</v>
      </c>
    </row>
    <row r="13" spans="4:32" x14ac:dyDescent="0.35">
      <c r="E13" s="24"/>
      <c r="F13" s="81"/>
      <c r="G13" s="24"/>
      <c r="H13" s="24"/>
      <c r="I13" s="24"/>
      <c r="J13" s="30"/>
      <c r="K13" s="29"/>
    </row>
    <row r="14" spans="4:32" x14ac:dyDescent="0.35">
      <c r="E14" s="24"/>
      <c r="F14" s="81"/>
      <c r="G14" s="24"/>
      <c r="H14" s="24"/>
      <c r="I14" s="24"/>
      <c r="J14" s="27"/>
      <c r="K14" s="29"/>
    </row>
    <row r="15" spans="4:32" x14ac:dyDescent="0.35">
      <c r="E15" s="24"/>
      <c r="F15" s="81"/>
      <c r="G15" s="24"/>
      <c r="H15" s="24"/>
      <c r="I15" s="24"/>
      <c r="J15" s="27"/>
      <c r="K15" s="29"/>
    </row>
    <row r="16" spans="4:32" x14ac:dyDescent="0.35">
      <c r="E16" s="24"/>
      <c r="F16" s="81"/>
      <c r="G16" s="24"/>
      <c r="H16" s="24"/>
      <c r="I16" s="24"/>
      <c r="J16" s="25"/>
      <c r="K16" s="29"/>
    </row>
    <row r="17" spans="5:11" x14ac:dyDescent="0.35">
      <c r="E17" s="24"/>
      <c r="F17" s="81"/>
      <c r="G17" s="24"/>
      <c r="H17" s="24"/>
      <c r="I17" s="24"/>
      <c r="J17" s="26"/>
      <c r="K17" s="27"/>
    </row>
    <row r="18" spans="5:11" x14ac:dyDescent="0.35">
      <c r="E18" s="24"/>
      <c r="F18" s="81"/>
      <c r="G18" s="24"/>
      <c r="H18" s="24"/>
      <c r="I18" s="24"/>
      <c r="J18" s="24"/>
      <c r="K18" s="27"/>
    </row>
    <row r="19" spans="5:11" x14ac:dyDescent="0.35">
      <c r="E19" s="24"/>
      <c r="F19" s="81"/>
      <c r="G19" s="24"/>
      <c r="H19" s="24"/>
      <c r="I19" s="24"/>
      <c r="J19" s="24"/>
      <c r="K19" s="27"/>
    </row>
    <row r="20" spans="5:11" x14ac:dyDescent="0.35">
      <c r="E20" s="24"/>
      <c r="F20" s="81"/>
      <c r="G20" s="24"/>
      <c r="H20" s="24"/>
      <c r="I20" s="24"/>
      <c r="J20" s="24"/>
      <c r="K20" s="27"/>
    </row>
    <row r="21" spans="5:11" x14ac:dyDescent="0.35">
      <c r="E21" s="24"/>
      <c r="F21" s="81"/>
      <c r="G21" s="24"/>
      <c r="H21" s="24"/>
      <c r="I21" s="24"/>
      <c r="J21" s="24"/>
      <c r="K21" s="27"/>
    </row>
    <row r="22" spans="5:11" x14ac:dyDescent="0.35">
      <c r="E22" s="24"/>
      <c r="F22" s="81"/>
      <c r="G22" s="24"/>
      <c r="H22" s="24"/>
      <c r="I22" s="24"/>
      <c r="J22" s="24"/>
      <c r="K22" s="27"/>
    </row>
    <row r="23" spans="5:11" x14ac:dyDescent="0.35">
      <c r="E23" s="23"/>
      <c r="F23" s="82"/>
      <c r="G23" s="23"/>
      <c r="H23" s="23"/>
      <c r="I23" s="23"/>
      <c r="J23" s="23"/>
      <c r="K23" s="25"/>
    </row>
  </sheetData>
  <mergeCells count="3">
    <mergeCell ref="E2:F2"/>
    <mergeCell ref="E3:F3"/>
    <mergeCell ref="E6:K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heet5.CommandButton3_Click">
                <anchor moveWithCells="1" sizeWithCells="1">
                  <from>
                    <xdr:col>8</xdr:col>
                    <xdr:colOff>571500</xdr:colOff>
                    <xdr:row>1</xdr:row>
                    <xdr:rowOff>50800</xdr:rowOff>
                  </from>
                  <to>
                    <xdr:col>10</xdr:col>
                    <xdr:colOff>952500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GC200"/>
  <sheetViews>
    <sheetView tabSelected="1" zoomScale="85" zoomScaleNormal="85" workbookViewId="0">
      <selection activeCell="A6" sqref="A6"/>
    </sheetView>
  </sheetViews>
  <sheetFormatPr defaultColWidth="9.1796875" defaultRowHeight="14.5" x14ac:dyDescent="0.35"/>
  <cols>
    <col min="1" max="11" width="9.1796875" style="86"/>
    <col min="12" max="12" width="19" style="86" bestFit="1" customWidth="1"/>
    <col min="13" max="13" width="13.26953125" style="86" bestFit="1" customWidth="1"/>
    <col min="14" max="14" width="16" style="86" bestFit="1" customWidth="1"/>
    <col min="15" max="15" width="14.54296875" style="86" bestFit="1" customWidth="1"/>
    <col min="16" max="18" width="9.1796875" style="86"/>
    <col min="19" max="19" width="14.54296875" style="86" bestFit="1" customWidth="1"/>
    <col min="20" max="20" width="8.1796875" style="86" bestFit="1" customWidth="1"/>
    <col min="21" max="21" width="11.7265625" style="86" bestFit="1" customWidth="1"/>
    <col min="22" max="22" width="11.7265625" style="86" customWidth="1"/>
    <col min="23" max="23" width="9.1796875" style="86"/>
    <col min="24" max="25" width="11.7265625" style="86" bestFit="1" customWidth="1"/>
    <col min="26" max="26" width="6.7265625" style="86" bestFit="1" customWidth="1"/>
    <col min="27" max="16384" width="9.1796875" style="86"/>
  </cols>
  <sheetData>
    <row r="1" spans="1:185" x14ac:dyDescent="0.3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5"/>
      <c r="CJ1" s="85"/>
      <c r="CK1" s="85"/>
      <c r="CL1" s="85"/>
      <c r="CM1" s="85"/>
      <c r="CN1" s="85"/>
      <c r="CO1" s="85"/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A1" s="85"/>
      <c r="DB1" s="85"/>
      <c r="DC1" s="85"/>
      <c r="DD1" s="85"/>
      <c r="DE1" s="85"/>
      <c r="DF1" s="85"/>
      <c r="DG1" s="85"/>
      <c r="DH1" s="85"/>
      <c r="DI1" s="85"/>
      <c r="DJ1" s="85"/>
      <c r="DK1" s="85"/>
      <c r="DL1" s="85"/>
      <c r="DM1" s="85"/>
      <c r="DN1" s="85"/>
      <c r="DO1" s="85"/>
      <c r="DP1" s="85"/>
      <c r="DQ1" s="85"/>
      <c r="DR1" s="85"/>
      <c r="DS1" s="85"/>
      <c r="DT1" s="85"/>
      <c r="DU1" s="85"/>
      <c r="DV1" s="85"/>
      <c r="DW1" s="85"/>
      <c r="DX1" s="85"/>
      <c r="DY1" s="85"/>
      <c r="DZ1" s="85"/>
      <c r="EA1" s="85"/>
      <c r="EB1" s="85"/>
      <c r="EC1" s="85"/>
      <c r="ED1" s="85"/>
      <c r="EE1" s="85"/>
      <c r="EF1" s="85"/>
      <c r="EG1" s="85"/>
      <c r="EH1" s="85"/>
      <c r="EI1" s="85"/>
      <c r="EJ1" s="85"/>
      <c r="EK1" s="85"/>
      <c r="EL1" s="85"/>
      <c r="EM1" s="85"/>
      <c r="EN1" s="85"/>
      <c r="EO1" s="85"/>
      <c r="EP1" s="85"/>
      <c r="EQ1" s="85"/>
      <c r="ER1" s="85"/>
      <c r="ES1" s="85"/>
      <c r="ET1" s="85"/>
      <c r="EU1" s="85"/>
      <c r="EV1" s="85"/>
      <c r="EW1" s="85"/>
      <c r="EX1" s="85"/>
      <c r="EY1" s="85"/>
      <c r="EZ1" s="85"/>
      <c r="FA1" s="85"/>
      <c r="FB1" s="85"/>
      <c r="FC1" s="85"/>
      <c r="FD1" s="85"/>
      <c r="FE1" s="85"/>
      <c r="FF1" s="85"/>
      <c r="FG1" s="85"/>
      <c r="FH1" s="85"/>
      <c r="FI1" s="85"/>
      <c r="FJ1" s="85"/>
      <c r="FK1" s="85"/>
      <c r="FL1" s="85"/>
      <c r="FM1" s="85"/>
      <c r="FN1" s="85"/>
      <c r="FO1" s="85"/>
      <c r="FP1" s="85"/>
      <c r="FQ1" s="85"/>
      <c r="FR1" s="85"/>
      <c r="FS1" s="85"/>
      <c r="FT1" s="85"/>
      <c r="FU1" s="85"/>
      <c r="FV1" s="85"/>
      <c r="FW1" s="85"/>
      <c r="FX1" s="85"/>
      <c r="FY1" s="85"/>
      <c r="FZ1" s="85"/>
      <c r="GA1" s="85"/>
      <c r="GB1" s="85"/>
      <c r="GC1" s="85"/>
    </row>
    <row r="2" spans="1:185" x14ac:dyDescent="0.35">
      <c r="A2" s="85"/>
      <c r="B2" s="85"/>
      <c r="C2" s="85"/>
      <c r="D2" s="85"/>
      <c r="E2" s="88" t="s">
        <v>7</v>
      </c>
      <c r="F2" s="88" t="s">
        <v>8</v>
      </c>
      <c r="G2" s="85"/>
      <c r="H2" s="88" t="s">
        <v>27</v>
      </c>
      <c r="I2" s="88" t="s">
        <v>28</v>
      </c>
      <c r="J2" s="88" t="s">
        <v>29</v>
      </c>
      <c r="K2" s="88" t="s">
        <v>30</v>
      </c>
      <c r="L2" s="88" t="s">
        <v>31</v>
      </c>
      <c r="M2" s="88" t="s">
        <v>32</v>
      </c>
      <c r="N2" s="88" t="s">
        <v>33</v>
      </c>
      <c r="O2" s="89" t="s">
        <v>34</v>
      </c>
      <c r="P2" s="88" t="s">
        <v>8</v>
      </c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85"/>
      <c r="GC2" s="85"/>
    </row>
    <row r="3" spans="1:185" x14ac:dyDescent="0.35">
      <c r="A3" s="85"/>
      <c r="B3" s="85"/>
      <c r="C3" s="85"/>
      <c r="D3" s="85"/>
      <c r="E3" s="87">
        <v>0</v>
      </c>
      <c r="F3" s="87">
        <v>1</v>
      </c>
      <c r="G3" s="85"/>
      <c r="H3" s="90">
        <v>1</v>
      </c>
      <c r="I3" s="90">
        <v>0</v>
      </c>
      <c r="J3" s="90">
        <v>12</v>
      </c>
      <c r="K3" s="90">
        <v>10.02</v>
      </c>
      <c r="L3" s="90">
        <v>140</v>
      </c>
      <c r="M3" s="93">
        <v>420</v>
      </c>
      <c r="N3" s="90">
        <v>140</v>
      </c>
      <c r="O3" s="93">
        <v>560</v>
      </c>
      <c r="P3" s="90">
        <v>1</v>
      </c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5"/>
      <c r="FV3" s="85"/>
      <c r="FW3" s="85"/>
      <c r="FX3" s="85"/>
      <c r="FY3" s="85"/>
      <c r="FZ3" s="85"/>
      <c r="GA3" s="85"/>
      <c r="GB3" s="85"/>
      <c r="GC3" s="85"/>
    </row>
    <row r="4" spans="1:185" x14ac:dyDescent="0.35">
      <c r="A4" s="85"/>
      <c r="B4" s="85"/>
      <c r="C4" s="85"/>
      <c r="D4" s="85"/>
      <c r="E4" s="87">
        <v>1</v>
      </c>
      <c r="F4" s="87">
        <v>1</v>
      </c>
      <c r="G4" s="85"/>
      <c r="H4" s="90">
        <v>1</v>
      </c>
      <c r="I4" s="90">
        <v>12</v>
      </c>
      <c r="J4" s="90">
        <v>1</v>
      </c>
      <c r="K4" s="90">
        <v>3.34</v>
      </c>
      <c r="L4" s="90">
        <v>199</v>
      </c>
      <c r="M4" s="93">
        <v>221</v>
      </c>
      <c r="N4" s="90">
        <v>159</v>
      </c>
      <c r="O4" s="93">
        <v>380</v>
      </c>
      <c r="P4" s="90">
        <v>1</v>
      </c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5"/>
      <c r="FV4" s="85"/>
      <c r="FW4" s="85"/>
      <c r="FX4" s="85"/>
      <c r="FY4" s="85"/>
      <c r="FZ4" s="85"/>
      <c r="GA4" s="85"/>
      <c r="GB4" s="85"/>
      <c r="GC4" s="85"/>
    </row>
    <row r="5" spans="1:185" x14ac:dyDescent="0.35">
      <c r="A5" s="85"/>
      <c r="B5" s="85"/>
      <c r="C5" s="85"/>
      <c r="D5" s="85"/>
      <c r="E5" s="87">
        <v>2</v>
      </c>
      <c r="F5" s="87">
        <v>1</v>
      </c>
      <c r="G5" s="85"/>
      <c r="H5" s="90">
        <v>1</v>
      </c>
      <c r="I5" s="90">
        <v>1</v>
      </c>
      <c r="J5" s="90">
        <v>11</v>
      </c>
      <c r="K5" s="90">
        <v>18.21</v>
      </c>
      <c r="L5" s="90">
        <v>195</v>
      </c>
      <c r="M5" s="93">
        <v>26</v>
      </c>
      <c r="N5" s="90">
        <v>130</v>
      </c>
      <c r="O5" s="93">
        <v>156</v>
      </c>
      <c r="P5" s="90">
        <v>1</v>
      </c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5"/>
      <c r="FV5" s="85"/>
      <c r="FW5" s="85"/>
      <c r="FX5" s="85"/>
      <c r="FY5" s="85"/>
      <c r="FZ5" s="85"/>
      <c r="GA5" s="85"/>
      <c r="GB5" s="85"/>
      <c r="GC5" s="85"/>
    </row>
    <row r="6" spans="1:185" x14ac:dyDescent="0.35">
      <c r="A6" s="85"/>
      <c r="B6" s="85"/>
      <c r="C6" s="85"/>
      <c r="D6" s="85"/>
      <c r="E6" s="87">
        <v>3</v>
      </c>
      <c r="F6" s="87">
        <v>1</v>
      </c>
      <c r="G6" s="85"/>
      <c r="H6" s="90">
        <v>1</v>
      </c>
      <c r="I6" s="90">
        <v>11</v>
      </c>
      <c r="J6" s="90">
        <v>0</v>
      </c>
      <c r="K6" s="90">
        <v>19.64</v>
      </c>
      <c r="L6" s="90"/>
      <c r="M6" s="93"/>
      <c r="N6" s="90"/>
      <c r="O6" s="93">
        <v>0</v>
      </c>
      <c r="P6" s="90">
        <v>1</v>
      </c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5"/>
      <c r="FV6" s="85"/>
      <c r="FW6" s="85"/>
      <c r="FX6" s="85"/>
      <c r="FY6" s="85"/>
      <c r="FZ6" s="85"/>
      <c r="GA6" s="85"/>
      <c r="GB6" s="85"/>
      <c r="GC6" s="85"/>
    </row>
    <row r="7" spans="1:185" x14ac:dyDescent="0.35">
      <c r="A7" s="85"/>
      <c r="B7" s="85"/>
      <c r="C7" s="85"/>
      <c r="D7" s="85"/>
      <c r="E7" s="87">
        <v>4</v>
      </c>
      <c r="F7" s="87">
        <v>1</v>
      </c>
      <c r="G7" s="85"/>
      <c r="H7" s="90">
        <v>2</v>
      </c>
      <c r="I7" s="90">
        <v>0</v>
      </c>
      <c r="J7" s="90">
        <v>3</v>
      </c>
      <c r="K7" s="90">
        <v>21.84</v>
      </c>
      <c r="L7" s="90">
        <v>198</v>
      </c>
      <c r="M7" s="93">
        <v>362</v>
      </c>
      <c r="N7" s="90">
        <v>170</v>
      </c>
      <c r="O7" s="93">
        <v>532</v>
      </c>
      <c r="P7" s="90">
        <v>1</v>
      </c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5"/>
      <c r="FV7" s="85"/>
      <c r="FW7" s="85"/>
      <c r="FX7" s="85"/>
      <c r="FY7" s="85"/>
      <c r="FZ7" s="85"/>
      <c r="GA7" s="85"/>
      <c r="GB7" s="85"/>
      <c r="GC7" s="85"/>
    </row>
    <row r="8" spans="1:185" x14ac:dyDescent="0.35">
      <c r="A8" s="85"/>
      <c r="B8" s="85"/>
      <c r="C8" s="85"/>
      <c r="D8" s="85"/>
      <c r="E8" s="87">
        <v>5</v>
      </c>
      <c r="F8" s="87">
        <v>1</v>
      </c>
      <c r="G8" s="85"/>
      <c r="H8" s="90">
        <v>2</v>
      </c>
      <c r="I8" s="90">
        <v>3</v>
      </c>
      <c r="J8" s="90">
        <v>7</v>
      </c>
      <c r="K8" s="90">
        <v>12.37</v>
      </c>
      <c r="L8" s="90">
        <v>110</v>
      </c>
      <c r="M8" s="93">
        <v>252</v>
      </c>
      <c r="N8" s="90">
        <v>158</v>
      </c>
      <c r="O8" s="93">
        <v>410</v>
      </c>
      <c r="P8" s="90">
        <v>1</v>
      </c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85"/>
      <c r="FZ8" s="85"/>
      <c r="GA8" s="85"/>
      <c r="GB8" s="85"/>
      <c r="GC8" s="85"/>
    </row>
    <row r="9" spans="1:185" x14ac:dyDescent="0.35">
      <c r="A9" s="85"/>
      <c r="B9" s="85"/>
      <c r="C9" s="85"/>
      <c r="D9" s="85"/>
      <c r="E9" s="87">
        <v>6</v>
      </c>
      <c r="F9" s="87">
        <v>1</v>
      </c>
      <c r="G9" s="85"/>
      <c r="H9" s="90">
        <v>2</v>
      </c>
      <c r="I9" s="90">
        <v>7</v>
      </c>
      <c r="J9" s="90">
        <v>2</v>
      </c>
      <c r="K9" s="90">
        <v>6.02</v>
      </c>
      <c r="L9" s="90">
        <v>123</v>
      </c>
      <c r="M9" s="93">
        <v>129</v>
      </c>
      <c r="N9" s="90">
        <v>191</v>
      </c>
      <c r="O9" s="93">
        <v>320</v>
      </c>
      <c r="P9" s="90">
        <v>1</v>
      </c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5"/>
      <c r="FV9" s="85"/>
      <c r="FW9" s="85"/>
      <c r="FX9" s="85"/>
      <c r="FY9" s="85"/>
      <c r="FZ9" s="85"/>
      <c r="GA9" s="85"/>
      <c r="GB9" s="85"/>
      <c r="GC9" s="85"/>
    </row>
    <row r="10" spans="1:185" x14ac:dyDescent="0.35">
      <c r="A10" s="85"/>
      <c r="B10" s="85"/>
      <c r="C10" s="85"/>
      <c r="D10" s="85"/>
      <c r="E10" s="87">
        <v>7</v>
      </c>
      <c r="F10" s="87">
        <v>1</v>
      </c>
      <c r="G10" s="85"/>
      <c r="H10" s="90">
        <v>2</v>
      </c>
      <c r="I10" s="90">
        <v>2</v>
      </c>
      <c r="J10" s="90">
        <v>0</v>
      </c>
      <c r="K10" s="90">
        <v>14.11</v>
      </c>
      <c r="L10" s="90"/>
      <c r="M10" s="93"/>
      <c r="N10" s="90"/>
      <c r="O10" s="93">
        <v>0</v>
      </c>
      <c r="P10" s="90">
        <v>1</v>
      </c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5"/>
      <c r="FV10" s="85"/>
      <c r="FW10" s="85"/>
      <c r="FX10" s="85"/>
      <c r="FY10" s="85"/>
      <c r="FZ10" s="85"/>
      <c r="GA10" s="85"/>
      <c r="GB10" s="85"/>
      <c r="GC10" s="85"/>
    </row>
    <row r="11" spans="1:185" x14ac:dyDescent="0.35">
      <c r="A11" s="85"/>
      <c r="B11" s="85"/>
      <c r="C11" s="85"/>
      <c r="D11" s="85"/>
      <c r="E11" s="87">
        <v>8</v>
      </c>
      <c r="F11" s="87">
        <v>1</v>
      </c>
      <c r="G11" s="85"/>
      <c r="H11" s="90">
        <v>3</v>
      </c>
      <c r="I11" s="90">
        <v>0</v>
      </c>
      <c r="J11" s="90">
        <v>15</v>
      </c>
      <c r="K11" s="90">
        <v>9.5</v>
      </c>
      <c r="L11" s="90">
        <v>141</v>
      </c>
      <c r="M11" s="93">
        <v>419</v>
      </c>
      <c r="N11" s="90">
        <v>141</v>
      </c>
      <c r="O11" s="93">
        <v>560</v>
      </c>
      <c r="P11" s="90">
        <v>1</v>
      </c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5"/>
      <c r="FV11" s="85"/>
      <c r="FW11" s="85"/>
      <c r="FX11" s="85"/>
      <c r="FY11" s="85"/>
      <c r="FZ11" s="85"/>
      <c r="GA11" s="85"/>
      <c r="GB11" s="85"/>
      <c r="GC11" s="85"/>
    </row>
    <row r="12" spans="1:185" x14ac:dyDescent="0.35">
      <c r="A12" s="85"/>
      <c r="B12" s="85"/>
      <c r="C12" s="85"/>
      <c r="D12" s="85"/>
      <c r="E12" s="87">
        <v>9</v>
      </c>
      <c r="F12" s="87">
        <v>1</v>
      </c>
      <c r="G12" s="85"/>
      <c r="H12" s="90">
        <v>3</v>
      </c>
      <c r="I12" s="90">
        <v>15</v>
      </c>
      <c r="J12" s="90">
        <v>6</v>
      </c>
      <c r="K12" s="90">
        <v>1.43</v>
      </c>
      <c r="L12" s="90">
        <v>102</v>
      </c>
      <c r="M12" s="93">
        <v>317</v>
      </c>
      <c r="N12" s="90">
        <v>168</v>
      </c>
      <c r="O12" s="93">
        <v>485</v>
      </c>
      <c r="P12" s="90">
        <v>1</v>
      </c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5"/>
      <c r="FV12" s="85"/>
      <c r="FW12" s="85"/>
      <c r="FX12" s="85"/>
      <c r="FY12" s="85"/>
      <c r="FZ12" s="85"/>
      <c r="GA12" s="85"/>
      <c r="GB12" s="85"/>
      <c r="GC12" s="85"/>
    </row>
    <row r="13" spans="1:185" x14ac:dyDescent="0.35">
      <c r="A13" s="85"/>
      <c r="B13" s="85"/>
      <c r="C13" s="85"/>
      <c r="D13" s="85"/>
      <c r="E13" s="87">
        <v>10</v>
      </c>
      <c r="F13" s="87">
        <v>1</v>
      </c>
      <c r="G13" s="85"/>
      <c r="H13" s="90">
        <v>3</v>
      </c>
      <c r="I13" s="90">
        <v>6</v>
      </c>
      <c r="J13" s="90">
        <v>4</v>
      </c>
      <c r="K13" s="90">
        <v>2.84</v>
      </c>
      <c r="L13" s="90">
        <v>153</v>
      </c>
      <c r="M13" s="93">
        <v>164</v>
      </c>
      <c r="N13" s="90">
        <v>124</v>
      </c>
      <c r="O13" s="93">
        <v>288</v>
      </c>
      <c r="P13" s="90">
        <v>1</v>
      </c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5"/>
      <c r="FV13" s="85"/>
      <c r="FW13" s="85"/>
      <c r="FX13" s="85"/>
      <c r="FY13" s="85"/>
      <c r="FZ13" s="85"/>
      <c r="GA13" s="85"/>
      <c r="GB13" s="85"/>
      <c r="GC13" s="85"/>
    </row>
    <row r="14" spans="1:185" x14ac:dyDescent="0.35">
      <c r="A14" s="85"/>
      <c r="B14" s="85"/>
      <c r="C14" s="85"/>
      <c r="D14" s="85"/>
      <c r="E14" s="87">
        <v>11</v>
      </c>
      <c r="F14" s="87">
        <v>1</v>
      </c>
      <c r="G14" s="85"/>
      <c r="H14" s="90">
        <v>3</v>
      </c>
      <c r="I14" s="90">
        <v>4</v>
      </c>
      <c r="J14" s="90">
        <v>0</v>
      </c>
      <c r="K14" s="90">
        <v>6.2</v>
      </c>
      <c r="L14" s="90"/>
      <c r="M14" s="93"/>
      <c r="N14" s="90"/>
      <c r="O14" s="93">
        <v>0</v>
      </c>
      <c r="P14" s="90">
        <v>1</v>
      </c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5"/>
      <c r="FV14" s="85"/>
      <c r="FW14" s="85"/>
      <c r="FX14" s="85"/>
      <c r="FY14" s="85"/>
      <c r="FZ14" s="85"/>
      <c r="GA14" s="85"/>
      <c r="GB14" s="85"/>
      <c r="GC14" s="85"/>
    </row>
    <row r="15" spans="1:185" x14ac:dyDescent="0.35">
      <c r="A15" s="85"/>
      <c r="B15" s="85"/>
      <c r="C15" s="85"/>
      <c r="D15" s="85"/>
      <c r="E15" s="87">
        <v>12</v>
      </c>
      <c r="F15" s="87">
        <v>1</v>
      </c>
      <c r="G15" s="85"/>
      <c r="H15" s="90">
        <v>4</v>
      </c>
      <c r="I15" s="90">
        <v>0</v>
      </c>
      <c r="J15" s="90">
        <v>13</v>
      </c>
      <c r="K15" s="90">
        <v>4.24</v>
      </c>
      <c r="L15" s="90">
        <v>116</v>
      </c>
      <c r="M15" s="93">
        <v>444</v>
      </c>
      <c r="N15" s="90">
        <v>100</v>
      </c>
      <c r="O15" s="93">
        <v>544</v>
      </c>
      <c r="P15" s="90">
        <v>1</v>
      </c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5"/>
      <c r="FV15" s="85"/>
      <c r="FW15" s="85"/>
      <c r="FX15" s="85"/>
      <c r="FY15" s="85"/>
      <c r="FZ15" s="85"/>
      <c r="GA15" s="85"/>
      <c r="GB15" s="85"/>
      <c r="GC15" s="85"/>
    </row>
    <row r="16" spans="1:185" x14ac:dyDescent="0.35">
      <c r="A16" s="85"/>
      <c r="B16" s="85"/>
      <c r="C16" s="85"/>
      <c r="D16" s="85"/>
      <c r="E16" s="87">
        <v>13</v>
      </c>
      <c r="F16" s="87">
        <v>1</v>
      </c>
      <c r="G16" s="85"/>
      <c r="H16" s="90">
        <v>4</v>
      </c>
      <c r="I16" s="90">
        <v>13</v>
      </c>
      <c r="J16" s="90">
        <v>14</v>
      </c>
      <c r="K16" s="90">
        <v>15.43</v>
      </c>
      <c r="L16" s="90">
        <v>165</v>
      </c>
      <c r="M16" s="93">
        <v>279</v>
      </c>
      <c r="N16" s="90">
        <v>116</v>
      </c>
      <c r="O16" s="93">
        <v>395</v>
      </c>
      <c r="P16" s="90">
        <v>1</v>
      </c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5"/>
      <c r="FV16" s="85"/>
      <c r="FW16" s="85"/>
      <c r="FX16" s="85"/>
      <c r="FY16" s="85"/>
      <c r="FZ16" s="85"/>
      <c r="GA16" s="85"/>
      <c r="GB16" s="85"/>
      <c r="GC16" s="85"/>
    </row>
    <row r="17" spans="1:185" x14ac:dyDescent="0.35">
      <c r="A17" s="85"/>
      <c r="B17" s="85"/>
      <c r="C17" s="85"/>
      <c r="D17" s="85"/>
      <c r="E17" s="87">
        <v>14</v>
      </c>
      <c r="F17" s="87">
        <v>1</v>
      </c>
      <c r="G17" s="85"/>
      <c r="H17" s="90">
        <v>4</v>
      </c>
      <c r="I17" s="90">
        <v>14</v>
      </c>
      <c r="J17" s="90">
        <v>5</v>
      </c>
      <c r="K17" s="90">
        <v>7.7</v>
      </c>
      <c r="L17" s="90">
        <v>200</v>
      </c>
      <c r="M17" s="93">
        <v>79</v>
      </c>
      <c r="N17" s="90">
        <v>111</v>
      </c>
      <c r="O17" s="93">
        <v>190</v>
      </c>
      <c r="P17" s="90">
        <v>1</v>
      </c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5"/>
      <c r="FV17" s="85"/>
      <c r="FW17" s="85"/>
      <c r="FX17" s="85"/>
      <c r="FY17" s="85"/>
      <c r="FZ17" s="85"/>
      <c r="GA17" s="85"/>
      <c r="GB17" s="85"/>
      <c r="GC17" s="85"/>
    </row>
    <row r="18" spans="1:185" x14ac:dyDescent="0.35">
      <c r="A18" s="85"/>
      <c r="B18" s="85"/>
      <c r="C18" s="85"/>
      <c r="D18" s="85"/>
      <c r="E18" s="87">
        <v>15</v>
      </c>
      <c r="F18" s="87">
        <v>1</v>
      </c>
      <c r="G18" s="85"/>
      <c r="H18" s="90">
        <v>4</v>
      </c>
      <c r="I18" s="90">
        <v>5</v>
      </c>
      <c r="J18" s="90">
        <v>0</v>
      </c>
      <c r="K18" s="90">
        <v>20.13</v>
      </c>
      <c r="L18" s="90"/>
      <c r="M18" s="93"/>
      <c r="N18" s="90"/>
      <c r="O18" s="93">
        <v>0</v>
      </c>
      <c r="P18" s="90">
        <v>1</v>
      </c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5"/>
      <c r="FV18" s="85"/>
      <c r="FW18" s="85"/>
      <c r="FX18" s="85"/>
      <c r="FY18" s="85"/>
      <c r="FZ18" s="85"/>
      <c r="GA18" s="85"/>
      <c r="GB18" s="85"/>
      <c r="GC18" s="85"/>
    </row>
    <row r="19" spans="1:185" x14ac:dyDescent="0.35">
      <c r="A19" s="85"/>
      <c r="B19" s="85"/>
      <c r="C19" s="85"/>
      <c r="D19" s="85"/>
      <c r="E19" s="85"/>
      <c r="F19" s="85"/>
      <c r="G19" s="85"/>
      <c r="H19" s="90">
        <v>5</v>
      </c>
      <c r="I19" s="90">
        <v>0</v>
      </c>
      <c r="J19" s="90">
        <v>9</v>
      </c>
      <c r="K19" s="90">
        <v>8.91</v>
      </c>
      <c r="L19" s="90">
        <v>105</v>
      </c>
      <c r="M19" s="93">
        <v>455</v>
      </c>
      <c r="N19" s="90">
        <v>102</v>
      </c>
      <c r="O19" s="93">
        <v>557</v>
      </c>
      <c r="P19" s="90">
        <v>1</v>
      </c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85"/>
      <c r="BU19" s="85"/>
      <c r="BV19" s="85"/>
      <c r="BW19" s="85"/>
      <c r="BX19" s="85"/>
      <c r="BY19" s="85"/>
      <c r="BZ19" s="85"/>
      <c r="CA19" s="85"/>
      <c r="CB19" s="85"/>
      <c r="CC19" s="85"/>
      <c r="CD19" s="85"/>
      <c r="CE19" s="85"/>
      <c r="CF19" s="85"/>
      <c r="CG19" s="85"/>
      <c r="CH19" s="85"/>
      <c r="CI19" s="85"/>
      <c r="CJ19" s="85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5"/>
      <c r="DM19" s="85"/>
      <c r="DN19" s="85"/>
      <c r="DO19" s="85"/>
      <c r="DP19" s="85"/>
      <c r="DQ19" s="85"/>
      <c r="DR19" s="85"/>
      <c r="DS19" s="85"/>
      <c r="DT19" s="85"/>
      <c r="DU19" s="85"/>
      <c r="DV19" s="85"/>
      <c r="DW19" s="85"/>
      <c r="DX19" s="85"/>
      <c r="DY19" s="85"/>
      <c r="DZ19" s="85"/>
      <c r="EA19" s="85"/>
      <c r="EB19" s="85"/>
      <c r="EC19" s="85"/>
      <c r="ED19" s="85"/>
      <c r="EE19" s="85"/>
      <c r="EF19" s="85"/>
      <c r="EG19" s="85"/>
      <c r="EH19" s="85"/>
      <c r="EI19" s="85"/>
      <c r="EJ19" s="85"/>
      <c r="EK19" s="85"/>
      <c r="EL19" s="85"/>
      <c r="EM19" s="85"/>
      <c r="EN19" s="85"/>
      <c r="EO19" s="85"/>
      <c r="EP19" s="85"/>
      <c r="EQ19" s="85"/>
      <c r="ER19" s="85"/>
      <c r="ES19" s="85"/>
      <c r="ET19" s="85"/>
      <c r="EU19" s="85"/>
      <c r="EV19" s="85"/>
      <c r="EW19" s="85"/>
      <c r="EX19" s="85"/>
      <c r="EY19" s="85"/>
      <c r="EZ19" s="85"/>
      <c r="FA19" s="85"/>
      <c r="FB19" s="85"/>
      <c r="FC19" s="85"/>
      <c r="FD19" s="85"/>
      <c r="FE19" s="85"/>
      <c r="FF19" s="85"/>
      <c r="FG19" s="85"/>
      <c r="FH19" s="85"/>
      <c r="FI19" s="85"/>
      <c r="FJ19" s="85"/>
      <c r="FK19" s="85"/>
      <c r="FL19" s="85"/>
      <c r="FM19" s="85"/>
      <c r="FN19" s="85"/>
      <c r="FO19" s="85"/>
      <c r="FP19" s="85"/>
      <c r="FQ19" s="85"/>
      <c r="FR19" s="85"/>
      <c r="FS19" s="85"/>
      <c r="FT19" s="85"/>
      <c r="FU19" s="85"/>
      <c r="FV19" s="85"/>
      <c r="FW19" s="85"/>
      <c r="FX19" s="85"/>
      <c r="FY19" s="85"/>
      <c r="FZ19" s="85"/>
      <c r="GA19" s="85"/>
      <c r="GB19" s="85"/>
      <c r="GC19" s="85"/>
    </row>
    <row r="20" spans="1:185" x14ac:dyDescent="0.35">
      <c r="A20" s="85"/>
      <c r="B20" s="85"/>
      <c r="C20" s="85"/>
      <c r="D20" s="85"/>
      <c r="E20" s="85"/>
      <c r="F20" s="85"/>
      <c r="G20" s="85"/>
      <c r="H20" s="90">
        <v>5</v>
      </c>
      <c r="I20" s="90">
        <v>9</v>
      </c>
      <c r="J20" s="90">
        <v>8</v>
      </c>
      <c r="K20" s="90">
        <v>9.52</v>
      </c>
      <c r="L20" s="90">
        <v>180</v>
      </c>
      <c r="M20" s="93">
        <v>275</v>
      </c>
      <c r="N20" s="90">
        <v>110</v>
      </c>
      <c r="O20" s="93">
        <v>385</v>
      </c>
      <c r="P20" s="90">
        <v>1</v>
      </c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85"/>
      <c r="DI20" s="85"/>
      <c r="DJ20" s="85"/>
      <c r="DK20" s="85"/>
      <c r="DL20" s="85"/>
      <c r="DM20" s="85"/>
      <c r="DN20" s="85"/>
      <c r="DO20" s="85"/>
      <c r="DP20" s="85"/>
      <c r="DQ20" s="85"/>
      <c r="DR20" s="85"/>
      <c r="DS20" s="85"/>
      <c r="DT20" s="85"/>
      <c r="DU20" s="85"/>
      <c r="DV20" s="85"/>
      <c r="DW20" s="85"/>
      <c r="DX20" s="85"/>
      <c r="DY20" s="85"/>
      <c r="DZ20" s="85"/>
      <c r="EA20" s="85"/>
      <c r="EB20" s="85"/>
      <c r="EC20" s="85"/>
      <c r="ED20" s="85"/>
      <c r="EE20" s="85"/>
      <c r="EF20" s="85"/>
      <c r="EG20" s="85"/>
      <c r="EH20" s="85"/>
      <c r="EI20" s="85"/>
      <c r="EJ20" s="85"/>
      <c r="EK20" s="85"/>
      <c r="EL20" s="85"/>
      <c r="EM20" s="85"/>
      <c r="EN20" s="85"/>
      <c r="EO20" s="85"/>
      <c r="EP20" s="85"/>
      <c r="EQ20" s="85"/>
      <c r="ER20" s="85"/>
      <c r="ES20" s="85"/>
      <c r="ET20" s="85"/>
      <c r="EU20" s="85"/>
      <c r="EV20" s="85"/>
      <c r="EW20" s="85"/>
      <c r="EX20" s="85"/>
      <c r="EY20" s="85"/>
      <c r="EZ20" s="85"/>
      <c r="FA20" s="85"/>
      <c r="FB20" s="85"/>
      <c r="FC20" s="85"/>
      <c r="FD20" s="85"/>
      <c r="FE20" s="85"/>
      <c r="FF20" s="85"/>
      <c r="FG20" s="85"/>
      <c r="FH20" s="85"/>
      <c r="FI20" s="85"/>
      <c r="FJ20" s="85"/>
      <c r="FK20" s="85"/>
      <c r="FL20" s="85"/>
      <c r="FM20" s="85"/>
      <c r="FN20" s="85"/>
      <c r="FO20" s="85"/>
      <c r="FP20" s="85"/>
      <c r="FQ20" s="85"/>
      <c r="FR20" s="85"/>
      <c r="FS20" s="85"/>
      <c r="FT20" s="85"/>
      <c r="FU20" s="85"/>
      <c r="FV20" s="85"/>
      <c r="FW20" s="85"/>
      <c r="FX20" s="85"/>
      <c r="FY20" s="85"/>
      <c r="FZ20" s="85"/>
      <c r="GA20" s="85"/>
      <c r="GB20" s="85"/>
      <c r="GC20" s="85"/>
    </row>
    <row r="21" spans="1:185" x14ac:dyDescent="0.35">
      <c r="A21" s="85"/>
      <c r="B21" s="85"/>
      <c r="C21" s="85"/>
      <c r="D21" s="85"/>
      <c r="E21" s="85"/>
      <c r="F21" s="85"/>
      <c r="G21" s="85"/>
      <c r="H21" s="91">
        <v>5</v>
      </c>
      <c r="I21" s="91">
        <v>8</v>
      </c>
      <c r="J21" s="91">
        <v>10</v>
      </c>
      <c r="K21" s="91">
        <v>23.72</v>
      </c>
      <c r="L21" s="91">
        <v>138</v>
      </c>
      <c r="M21" s="93">
        <v>137</v>
      </c>
      <c r="N21" s="91">
        <v>130</v>
      </c>
      <c r="O21" s="93">
        <v>267</v>
      </c>
      <c r="P21" s="91">
        <v>1</v>
      </c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5"/>
      <c r="BY21" s="85"/>
      <c r="BZ21" s="85"/>
      <c r="CA21" s="85"/>
      <c r="CB21" s="85"/>
      <c r="CC21" s="85"/>
      <c r="CD21" s="85"/>
      <c r="CE21" s="85"/>
      <c r="CF21" s="85"/>
      <c r="CG21" s="85"/>
      <c r="CH21" s="85"/>
      <c r="CI21" s="85"/>
      <c r="CJ21" s="85"/>
      <c r="CK21" s="85"/>
      <c r="CL21" s="85"/>
      <c r="CM21" s="85"/>
      <c r="CN21" s="85"/>
      <c r="CO21" s="85"/>
      <c r="CP21" s="85"/>
      <c r="CQ21" s="85"/>
      <c r="CR21" s="85"/>
      <c r="CS21" s="8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5"/>
      <c r="DE21" s="85"/>
      <c r="DF21" s="85"/>
      <c r="DG21" s="85"/>
      <c r="DH21" s="85"/>
      <c r="DI21" s="85"/>
      <c r="DJ21" s="85"/>
      <c r="DK21" s="85"/>
      <c r="DL21" s="85"/>
      <c r="DM21" s="85"/>
      <c r="DN21" s="85"/>
      <c r="DO21" s="85"/>
      <c r="DP21" s="85"/>
      <c r="DQ21" s="85"/>
      <c r="DR21" s="85"/>
      <c r="DS21" s="85"/>
      <c r="DT21" s="85"/>
      <c r="DU21" s="85"/>
      <c r="DV21" s="85"/>
      <c r="DW21" s="85"/>
      <c r="DX21" s="85"/>
      <c r="DY21" s="85"/>
      <c r="DZ21" s="85"/>
      <c r="EA21" s="85"/>
      <c r="EB21" s="85"/>
      <c r="EC21" s="85"/>
      <c r="ED21" s="85"/>
      <c r="EE21" s="85"/>
      <c r="EF21" s="85"/>
      <c r="EG21" s="85"/>
      <c r="EH21" s="85"/>
      <c r="EI21" s="85"/>
      <c r="EJ21" s="85"/>
      <c r="EK21" s="85"/>
      <c r="EL21" s="85"/>
      <c r="EM21" s="85"/>
      <c r="EN21" s="85"/>
      <c r="EO21" s="85"/>
      <c r="EP21" s="85"/>
      <c r="EQ21" s="85"/>
      <c r="ER21" s="85"/>
      <c r="ES21" s="85"/>
      <c r="ET21" s="85"/>
      <c r="EU21" s="85"/>
      <c r="EV21" s="85"/>
      <c r="EW21" s="85"/>
      <c r="EX21" s="85"/>
      <c r="EY21" s="85"/>
      <c r="EZ21" s="85"/>
      <c r="FA21" s="85"/>
      <c r="FB21" s="85"/>
      <c r="FC21" s="85"/>
      <c r="FD21" s="85"/>
      <c r="FE21" s="85"/>
      <c r="FF21" s="85"/>
      <c r="FG21" s="85"/>
      <c r="FH21" s="85"/>
      <c r="FI21" s="85"/>
      <c r="FJ21" s="85"/>
      <c r="FK21" s="85"/>
      <c r="FL21" s="85"/>
      <c r="FM21" s="85"/>
      <c r="FN21" s="85"/>
      <c r="FO21" s="85"/>
      <c r="FP21" s="85"/>
      <c r="FQ21" s="85"/>
      <c r="FR21" s="85"/>
      <c r="FS21" s="85"/>
      <c r="FT21" s="85"/>
      <c r="FU21" s="85"/>
      <c r="FV21" s="85"/>
      <c r="FW21" s="85"/>
      <c r="FX21" s="85"/>
      <c r="FY21" s="85"/>
      <c r="FZ21" s="85"/>
      <c r="GA21" s="85"/>
      <c r="GB21" s="85"/>
      <c r="GC21" s="85"/>
    </row>
    <row r="22" spans="1:185" x14ac:dyDescent="0.35">
      <c r="A22" s="85"/>
      <c r="B22" s="85"/>
      <c r="C22" s="85"/>
      <c r="D22" s="85"/>
      <c r="E22" s="85"/>
      <c r="F22" s="85"/>
      <c r="G22" s="85"/>
      <c r="H22" s="92">
        <v>5</v>
      </c>
      <c r="I22" s="92">
        <v>10</v>
      </c>
      <c r="J22" s="92">
        <v>0</v>
      </c>
      <c r="K22" s="92">
        <v>8.86</v>
      </c>
      <c r="L22" s="92"/>
      <c r="M22" s="93"/>
      <c r="N22" s="92"/>
      <c r="O22" s="93">
        <v>0</v>
      </c>
      <c r="P22" s="92">
        <v>1</v>
      </c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  <c r="DF22" s="85"/>
      <c r="DG22" s="85"/>
      <c r="DH22" s="85"/>
      <c r="DI22" s="85"/>
      <c r="DJ22" s="85"/>
      <c r="DK22" s="85"/>
      <c r="DL22" s="85"/>
      <c r="DM22" s="85"/>
      <c r="DN22" s="85"/>
      <c r="DO22" s="85"/>
      <c r="DP22" s="85"/>
      <c r="DQ22" s="85"/>
      <c r="DR22" s="85"/>
      <c r="DS22" s="85"/>
      <c r="DT22" s="85"/>
      <c r="DU22" s="85"/>
      <c r="DV22" s="85"/>
      <c r="DW22" s="85"/>
      <c r="DX22" s="85"/>
      <c r="DY22" s="85"/>
      <c r="DZ22" s="85"/>
      <c r="EA22" s="85"/>
      <c r="EB22" s="85"/>
      <c r="EC22" s="85"/>
      <c r="ED22" s="85"/>
      <c r="EE22" s="85"/>
      <c r="EF22" s="85"/>
      <c r="EG22" s="85"/>
      <c r="EH22" s="85"/>
      <c r="EI22" s="85"/>
      <c r="EJ22" s="85"/>
      <c r="EK22" s="85"/>
      <c r="EL22" s="85"/>
      <c r="EM22" s="85"/>
      <c r="EN22" s="85"/>
      <c r="EO22" s="85"/>
      <c r="EP22" s="85"/>
      <c r="EQ22" s="85"/>
      <c r="ER22" s="85"/>
      <c r="ES22" s="85"/>
      <c r="ET22" s="85"/>
      <c r="EU22" s="85"/>
      <c r="EV22" s="85"/>
      <c r="EW22" s="85"/>
      <c r="EX22" s="85"/>
      <c r="EY22" s="85"/>
      <c r="EZ22" s="85"/>
      <c r="FA22" s="85"/>
      <c r="FB22" s="85"/>
      <c r="FC22" s="85"/>
      <c r="FD22" s="85"/>
      <c r="FE22" s="85"/>
      <c r="FF22" s="85"/>
      <c r="FG22" s="85"/>
      <c r="FH22" s="85"/>
      <c r="FI22" s="85"/>
      <c r="FJ22" s="85"/>
      <c r="FK22" s="85"/>
      <c r="FL22" s="85"/>
      <c r="FM22" s="85"/>
      <c r="FN22" s="85"/>
      <c r="FO22" s="85"/>
      <c r="FP22" s="85"/>
      <c r="FQ22" s="85"/>
      <c r="FR22" s="85"/>
      <c r="FS22" s="85"/>
      <c r="FT22" s="85"/>
      <c r="FU22" s="85"/>
      <c r="FV22" s="85"/>
      <c r="FW22" s="85"/>
      <c r="FX22" s="85"/>
      <c r="FY22" s="85"/>
      <c r="FZ22" s="85"/>
      <c r="GA22" s="85"/>
      <c r="GB22" s="85"/>
      <c r="GC22" s="85"/>
    </row>
    <row r="23" spans="1:185" x14ac:dyDescent="0.3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5"/>
      <c r="FV23" s="85"/>
      <c r="FW23" s="85"/>
      <c r="FX23" s="85"/>
      <c r="FY23" s="85"/>
      <c r="FZ23" s="85"/>
      <c r="GA23" s="85"/>
      <c r="GB23" s="85"/>
      <c r="GC23" s="85"/>
    </row>
    <row r="24" spans="1:185" x14ac:dyDescent="0.3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5"/>
      <c r="FV24" s="85"/>
      <c r="FW24" s="85"/>
      <c r="FX24" s="85"/>
      <c r="FY24" s="85"/>
      <c r="FZ24" s="85"/>
      <c r="GA24" s="85"/>
      <c r="GB24" s="85"/>
      <c r="GC24" s="85"/>
    </row>
    <row r="25" spans="1:185" x14ac:dyDescent="0.3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5"/>
      <c r="FV25" s="85"/>
      <c r="FW25" s="85"/>
      <c r="FX25" s="85"/>
      <c r="FY25" s="85"/>
      <c r="FZ25" s="85"/>
      <c r="GA25" s="85"/>
      <c r="GB25" s="85"/>
      <c r="GC25" s="85"/>
    </row>
    <row r="26" spans="1:185" x14ac:dyDescent="0.3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5"/>
      <c r="FV26" s="85"/>
      <c r="FW26" s="85"/>
      <c r="FX26" s="85"/>
      <c r="FY26" s="85"/>
      <c r="FZ26" s="85"/>
      <c r="GA26" s="85"/>
      <c r="GB26" s="85"/>
      <c r="GC26" s="85"/>
    </row>
    <row r="27" spans="1:185" x14ac:dyDescent="0.3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5"/>
      <c r="CC27" s="85"/>
      <c r="CD27" s="85"/>
      <c r="CE27" s="85"/>
      <c r="CF27" s="85"/>
      <c r="CG27" s="85"/>
      <c r="CH27" s="85"/>
      <c r="CI27" s="85"/>
      <c r="CJ27" s="85"/>
      <c r="CK27" s="85"/>
      <c r="CL27" s="85"/>
      <c r="CM27" s="85"/>
      <c r="CN27" s="85"/>
      <c r="CO27" s="85"/>
      <c r="CP27" s="85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5"/>
      <c r="DM27" s="85"/>
      <c r="DN27" s="85"/>
      <c r="DO27" s="85"/>
      <c r="DP27" s="85"/>
      <c r="DQ27" s="85"/>
      <c r="DR27" s="85"/>
      <c r="DS27" s="85"/>
      <c r="DT27" s="85"/>
      <c r="DU27" s="85"/>
      <c r="DV27" s="85"/>
      <c r="DW27" s="85"/>
      <c r="DX27" s="85"/>
      <c r="DY27" s="85"/>
      <c r="DZ27" s="85"/>
      <c r="EA27" s="85"/>
      <c r="EB27" s="85"/>
      <c r="EC27" s="85"/>
      <c r="ED27" s="85"/>
      <c r="EE27" s="85"/>
      <c r="EF27" s="85"/>
      <c r="EG27" s="85"/>
      <c r="EH27" s="85"/>
      <c r="EI27" s="85"/>
      <c r="EJ27" s="85"/>
      <c r="EK27" s="85"/>
      <c r="EL27" s="85"/>
      <c r="EM27" s="85"/>
      <c r="EN27" s="85"/>
      <c r="EO27" s="85"/>
      <c r="EP27" s="85"/>
      <c r="EQ27" s="85"/>
      <c r="ER27" s="85"/>
      <c r="ES27" s="85"/>
      <c r="ET27" s="85"/>
      <c r="EU27" s="85"/>
      <c r="EV27" s="85"/>
      <c r="EW27" s="85"/>
      <c r="EX27" s="85"/>
      <c r="EY27" s="85"/>
      <c r="EZ27" s="85"/>
      <c r="FA27" s="85"/>
      <c r="FB27" s="85"/>
      <c r="FC27" s="85"/>
      <c r="FD27" s="85"/>
      <c r="FE27" s="85"/>
      <c r="FF27" s="85"/>
      <c r="FG27" s="85"/>
      <c r="FH27" s="85"/>
      <c r="FI27" s="85"/>
      <c r="FJ27" s="85"/>
      <c r="FK27" s="85"/>
      <c r="FL27" s="85"/>
      <c r="FM27" s="85"/>
      <c r="FN27" s="85"/>
      <c r="FO27" s="85"/>
      <c r="FP27" s="85"/>
      <c r="FQ27" s="85"/>
      <c r="FR27" s="85"/>
      <c r="FS27" s="85"/>
      <c r="FT27" s="85"/>
      <c r="FU27" s="85"/>
      <c r="FV27" s="85"/>
      <c r="FW27" s="85"/>
      <c r="FX27" s="85"/>
      <c r="FY27" s="85"/>
      <c r="FZ27" s="85"/>
      <c r="GA27" s="85"/>
      <c r="GB27" s="85"/>
      <c r="GC27" s="85"/>
    </row>
    <row r="28" spans="1:185" x14ac:dyDescent="0.3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  <c r="DF28" s="85"/>
      <c r="DG28" s="85"/>
      <c r="DH28" s="85"/>
      <c r="DI28" s="85"/>
      <c r="DJ28" s="85"/>
      <c r="DK28" s="85"/>
      <c r="DL28" s="85"/>
      <c r="DM28" s="85"/>
      <c r="DN28" s="85"/>
      <c r="DO28" s="85"/>
      <c r="DP28" s="85"/>
      <c r="DQ28" s="85"/>
      <c r="DR28" s="85"/>
      <c r="DS28" s="85"/>
      <c r="DT28" s="85"/>
      <c r="DU28" s="85"/>
      <c r="DV28" s="85"/>
      <c r="DW28" s="85"/>
      <c r="DX28" s="85"/>
      <c r="DY28" s="85"/>
      <c r="DZ28" s="85"/>
      <c r="EA28" s="85"/>
      <c r="EB28" s="85"/>
      <c r="EC28" s="85"/>
      <c r="ED28" s="85"/>
      <c r="EE28" s="85"/>
      <c r="EF28" s="85"/>
      <c r="EG28" s="85"/>
      <c r="EH28" s="85"/>
      <c r="EI28" s="85"/>
      <c r="EJ28" s="85"/>
      <c r="EK28" s="85"/>
      <c r="EL28" s="85"/>
      <c r="EM28" s="85"/>
      <c r="EN28" s="85"/>
      <c r="EO28" s="85"/>
      <c r="EP28" s="85"/>
      <c r="EQ28" s="85"/>
      <c r="ER28" s="85"/>
      <c r="ES28" s="85"/>
      <c r="ET28" s="85"/>
      <c r="EU28" s="85"/>
      <c r="EV28" s="85"/>
      <c r="EW28" s="85"/>
      <c r="EX28" s="85"/>
      <c r="EY28" s="85"/>
      <c r="EZ28" s="85"/>
      <c r="FA28" s="85"/>
      <c r="FB28" s="85"/>
      <c r="FC28" s="85"/>
      <c r="FD28" s="85"/>
      <c r="FE28" s="85"/>
      <c r="FF28" s="85"/>
      <c r="FG28" s="85"/>
      <c r="FH28" s="85"/>
      <c r="FI28" s="85"/>
      <c r="FJ28" s="85"/>
      <c r="FK28" s="85"/>
      <c r="FL28" s="85"/>
      <c r="FM28" s="85"/>
      <c r="FN28" s="85"/>
      <c r="FO28" s="85"/>
      <c r="FP28" s="85"/>
      <c r="FQ28" s="85"/>
      <c r="FR28" s="85"/>
      <c r="FS28" s="85"/>
      <c r="FT28" s="85"/>
      <c r="FU28" s="85"/>
      <c r="FV28" s="85"/>
      <c r="FW28" s="85"/>
      <c r="FX28" s="85"/>
      <c r="FY28" s="85"/>
      <c r="FZ28" s="85"/>
      <c r="GA28" s="85"/>
      <c r="GB28" s="85"/>
      <c r="GC28" s="85"/>
    </row>
    <row r="29" spans="1:185" x14ac:dyDescent="0.3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5"/>
      <c r="BY29" s="85"/>
      <c r="BZ29" s="85"/>
      <c r="CA29" s="85"/>
      <c r="CB29" s="85"/>
      <c r="CC29" s="85"/>
      <c r="CD29" s="85"/>
      <c r="CE29" s="85"/>
      <c r="CF29" s="85"/>
      <c r="CG29" s="85"/>
      <c r="CH29" s="85"/>
      <c r="CI29" s="85"/>
      <c r="CJ29" s="85"/>
      <c r="CK29" s="85"/>
      <c r="CL29" s="85"/>
      <c r="CM29" s="85"/>
      <c r="CN29" s="85"/>
      <c r="CO29" s="85"/>
      <c r="CP29" s="85"/>
      <c r="CQ29" s="85"/>
      <c r="CR29" s="85"/>
      <c r="CS29" s="85"/>
      <c r="CT29" s="85"/>
      <c r="CU29" s="85"/>
      <c r="CV29" s="85"/>
      <c r="CW29" s="85"/>
      <c r="CX29" s="85"/>
      <c r="CY29" s="85"/>
      <c r="CZ29" s="85"/>
      <c r="DA29" s="85"/>
      <c r="DB29" s="85"/>
      <c r="DC29" s="85"/>
      <c r="DD29" s="85"/>
      <c r="DE29" s="85"/>
      <c r="DF29" s="85"/>
      <c r="DG29" s="85"/>
      <c r="DH29" s="85"/>
      <c r="DI29" s="85"/>
      <c r="DJ29" s="85"/>
      <c r="DK29" s="85"/>
      <c r="DL29" s="85"/>
      <c r="DM29" s="85"/>
      <c r="DN29" s="85"/>
      <c r="DO29" s="85"/>
      <c r="DP29" s="85"/>
      <c r="DQ29" s="85"/>
      <c r="DR29" s="85"/>
      <c r="DS29" s="85"/>
      <c r="DT29" s="85"/>
      <c r="DU29" s="85"/>
      <c r="DV29" s="85"/>
      <c r="DW29" s="85"/>
      <c r="DX29" s="85"/>
      <c r="DY29" s="85"/>
      <c r="DZ29" s="85"/>
      <c r="EA29" s="85"/>
      <c r="EB29" s="85"/>
      <c r="EC29" s="85"/>
      <c r="ED29" s="85"/>
      <c r="EE29" s="85"/>
      <c r="EF29" s="85"/>
      <c r="EG29" s="85"/>
      <c r="EH29" s="85"/>
      <c r="EI29" s="85"/>
      <c r="EJ29" s="85"/>
      <c r="EK29" s="85"/>
      <c r="EL29" s="85"/>
      <c r="EM29" s="85"/>
      <c r="EN29" s="85"/>
      <c r="EO29" s="85"/>
      <c r="EP29" s="85"/>
      <c r="EQ29" s="85"/>
      <c r="ER29" s="85"/>
      <c r="ES29" s="85"/>
      <c r="ET29" s="85"/>
      <c r="EU29" s="85"/>
      <c r="EV29" s="85"/>
      <c r="EW29" s="85"/>
      <c r="EX29" s="85"/>
      <c r="EY29" s="85"/>
      <c r="EZ29" s="85"/>
      <c r="FA29" s="85"/>
      <c r="FB29" s="85"/>
      <c r="FC29" s="85"/>
      <c r="FD29" s="85"/>
      <c r="FE29" s="85"/>
      <c r="FF29" s="85"/>
      <c r="FG29" s="85"/>
      <c r="FH29" s="85"/>
      <c r="FI29" s="85"/>
      <c r="FJ29" s="85"/>
      <c r="FK29" s="85"/>
      <c r="FL29" s="85"/>
      <c r="FM29" s="85"/>
      <c r="FN29" s="85"/>
      <c r="FO29" s="85"/>
      <c r="FP29" s="85"/>
      <c r="FQ29" s="85"/>
      <c r="FR29" s="85"/>
      <c r="FS29" s="85"/>
      <c r="FT29" s="85"/>
      <c r="FU29" s="85"/>
      <c r="FV29" s="85"/>
      <c r="FW29" s="85"/>
      <c r="FX29" s="85"/>
      <c r="FY29" s="85"/>
      <c r="FZ29" s="85"/>
      <c r="GA29" s="85"/>
      <c r="GB29" s="85"/>
      <c r="GC29" s="85"/>
    </row>
    <row r="30" spans="1:185" x14ac:dyDescent="0.3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5"/>
      <c r="BY30" s="85"/>
      <c r="BZ30" s="85"/>
      <c r="CA30" s="85"/>
      <c r="CB30" s="85"/>
      <c r="CC30" s="85"/>
      <c r="CD30" s="85"/>
      <c r="CE30" s="85"/>
      <c r="CF30" s="85"/>
      <c r="CG30" s="85"/>
      <c r="CH30" s="85"/>
      <c r="CI30" s="85"/>
      <c r="CJ30" s="85"/>
      <c r="CK30" s="85"/>
      <c r="CL30" s="85"/>
      <c r="CM30" s="85"/>
      <c r="CN30" s="85"/>
      <c r="CO30" s="85"/>
      <c r="CP30" s="85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  <c r="DF30" s="85"/>
      <c r="DG30" s="85"/>
      <c r="DH30" s="85"/>
      <c r="DI30" s="85"/>
      <c r="DJ30" s="85"/>
      <c r="DK30" s="85"/>
      <c r="DL30" s="85"/>
      <c r="DM30" s="85"/>
      <c r="DN30" s="85"/>
      <c r="DO30" s="85"/>
      <c r="DP30" s="85"/>
      <c r="DQ30" s="85"/>
      <c r="DR30" s="85"/>
      <c r="DS30" s="85"/>
      <c r="DT30" s="85"/>
      <c r="DU30" s="85"/>
      <c r="DV30" s="85"/>
      <c r="DW30" s="85"/>
      <c r="DX30" s="85"/>
      <c r="DY30" s="85"/>
      <c r="DZ30" s="85"/>
      <c r="EA30" s="85"/>
      <c r="EB30" s="85"/>
      <c r="EC30" s="85"/>
      <c r="ED30" s="85"/>
      <c r="EE30" s="85"/>
      <c r="EF30" s="85"/>
      <c r="EG30" s="85"/>
      <c r="EH30" s="85"/>
      <c r="EI30" s="85"/>
      <c r="EJ30" s="85"/>
      <c r="EK30" s="85"/>
      <c r="EL30" s="85"/>
      <c r="EM30" s="85"/>
      <c r="EN30" s="85"/>
      <c r="EO30" s="85"/>
      <c r="EP30" s="85"/>
      <c r="EQ30" s="85"/>
      <c r="ER30" s="85"/>
      <c r="ES30" s="85"/>
      <c r="ET30" s="85"/>
      <c r="EU30" s="85"/>
      <c r="EV30" s="85"/>
      <c r="EW30" s="85"/>
      <c r="EX30" s="85"/>
      <c r="EY30" s="85"/>
      <c r="EZ30" s="85"/>
      <c r="FA30" s="85"/>
      <c r="FB30" s="85"/>
      <c r="FC30" s="85"/>
      <c r="FD30" s="85"/>
      <c r="FE30" s="85"/>
      <c r="FF30" s="85"/>
      <c r="FG30" s="85"/>
      <c r="FH30" s="85"/>
      <c r="FI30" s="85"/>
      <c r="FJ30" s="85"/>
      <c r="FK30" s="85"/>
      <c r="FL30" s="85"/>
      <c r="FM30" s="85"/>
      <c r="FN30" s="85"/>
      <c r="FO30" s="85"/>
      <c r="FP30" s="85"/>
      <c r="FQ30" s="85"/>
      <c r="FR30" s="85"/>
      <c r="FS30" s="85"/>
      <c r="FT30" s="85"/>
      <c r="FU30" s="85"/>
      <c r="FV30" s="85"/>
      <c r="FW30" s="85"/>
      <c r="FX30" s="85"/>
      <c r="FY30" s="85"/>
      <c r="FZ30" s="85"/>
      <c r="GA30" s="85"/>
      <c r="GB30" s="85"/>
      <c r="GC30" s="85"/>
    </row>
    <row r="31" spans="1:185" x14ac:dyDescent="0.3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85"/>
      <c r="BU31" s="85"/>
      <c r="BV31" s="85"/>
      <c r="BW31" s="85"/>
      <c r="BX31" s="85"/>
      <c r="BY31" s="85"/>
      <c r="BZ31" s="85"/>
      <c r="CA31" s="85"/>
      <c r="CB31" s="85"/>
      <c r="CC31" s="85"/>
      <c r="CD31" s="85"/>
      <c r="CE31" s="85"/>
      <c r="CF31" s="85"/>
      <c r="CG31" s="85"/>
      <c r="CH31" s="85"/>
      <c r="CI31" s="85"/>
      <c r="CJ31" s="85"/>
      <c r="CK31" s="85"/>
      <c r="CL31" s="85"/>
      <c r="CM31" s="85"/>
      <c r="CN31" s="85"/>
      <c r="CO31" s="85"/>
      <c r="CP31" s="85"/>
      <c r="CQ31" s="85"/>
      <c r="CR31" s="85"/>
      <c r="CS31" s="85"/>
      <c r="CT31" s="85"/>
      <c r="CU31" s="85"/>
      <c r="CV31" s="85"/>
      <c r="CW31" s="85"/>
      <c r="CX31" s="85"/>
      <c r="CY31" s="85"/>
      <c r="CZ31" s="85"/>
      <c r="DA31" s="85"/>
      <c r="DB31" s="85"/>
      <c r="DC31" s="85"/>
      <c r="DD31" s="85"/>
      <c r="DE31" s="85"/>
      <c r="DF31" s="85"/>
      <c r="DG31" s="85"/>
      <c r="DH31" s="85"/>
      <c r="DI31" s="85"/>
      <c r="DJ31" s="85"/>
      <c r="DK31" s="85"/>
      <c r="DL31" s="85"/>
      <c r="DM31" s="85"/>
      <c r="DN31" s="85"/>
      <c r="DO31" s="85"/>
      <c r="DP31" s="85"/>
      <c r="DQ31" s="85"/>
      <c r="DR31" s="85"/>
      <c r="DS31" s="85"/>
      <c r="DT31" s="85"/>
      <c r="DU31" s="85"/>
      <c r="DV31" s="85"/>
      <c r="DW31" s="85"/>
      <c r="DX31" s="85"/>
      <c r="DY31" s="85"/>
      <c r="DZ31" s="85"/>
      <c r="EA31" s="85"/>
      <c r="EB31" s="85"/>
      <c r="EC31" s="85"/>
      <c r="ED31" s="85"/>
      <c r="EE31" s="85"/>
      <c r="EF31" s="85"/>
      <c r="EG31" s="85"/>
      <c r="EH31" s="85"/>
      <c r="EI31" s="85"/>
      <c r="EJ31" s="85"/>
      <c r="EK31" s="85"/>
      <c r="EL31" s="85"/>
      <c r="EM31" s="85"/>
      <c r="EN31" s="85"/>
      <c r="EO31" s="85"/>
      <c r="EP31" s="85"/>
      <c r="EQ31" s="85"/>
      <c r="ER31" s="85"/>
      <c r="ES31" s="85"/>
      <c r="ET31" s="85"/>
      <c r="EU31" s="85"/>
      <c r="EV31" s="85"/>
      <c r="EW31" s="85"/>
      <c r="EX31" s="85"/>
      <c r="EY31" s="85"/>
      <c r="EZ31" s="85"/>
      <c r="FA31" s="85"/>
      <c r="FB31" s="85"/>
      <c r="FC31" s="85"/>
      <c r="FD31" s="85"/>
      <c r="FE31" s="85"/>
      <c r="FF31" s="85"/>
      <c r="FG31" s="85"/>
      <c r="FH31" s="85"/>
      <c r="FI31" s="85"/>
      <c r="FJ31" s="85"/>
      <c r="FK31" s="85"/>
      <c r="FL31" s="85"/>
      <c r="FM31" s="85"/>
      <c r="FN31" s="85"/>
      <c r="FO31" s="85"/>
      <c r="FP31" s="85"/>
      <c r="FQ31" s="85"/>
      <c r="FR31" s="85"/>
      <c r="FS31" s="85"/>
      <c r="FT31" s="85"/>
      <c r="FU31" s="85"/>
      <c r="FV31" s="85"/>
      <c r="FW31" s="85"/>
      <c r="FX31" s="85"/>
      <c r="FY31" s="85"/>
      <c r="FZ31" s="85"/>
      <c r="GA31" s="85"/>
      <c r="GB31" s="85"/>
      <c r="GC31" s="85"/>
    </row>
    <row r="32" spans="1:185" x14ac:dyDescent="0.3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  <c r="DF32" s="85"/>
      <c r="DG32" s="85"/>
      <c r="DH32" s="85"/>
      <c r="DI32" s="85"/>
      <c r="DJ32" s="85"/>
      <c r="DK32" s="85"/>
      <c r="DL32" s="85"/>
      <c r="DM32" s="85"/>
      <c r="DN32" s="85"/>
      <c r="DO32" s="85"/>
      <c r="DP32" s="85"/>
      <c r="DQ32" s="85"/>
      <c r="DR32" s="85"/>
      <c r="DS32" s="85"/>
      <c r="DT32" s="85"/>
      <c r="DU32" s="85"/>
      <c r="DV32" s="85"/>
      <c r="DW32" s="85"/>
      <c r="DX32" s="85"/>
      <c r="DY32" s="85"/>
      <c r="DZ32" s="85"/>
      <c r="EA32" s="85"/>
      <c r="EB32" s="85"/>
      <c r="EC32" s="85"/>
      <c r="ED32" s="85"/>
      <c r="EE32" s="85"/>
      <c r="EF32" s="85"/>
      <c r="EG32" s="85"/>
      <c r="EH32" s="85"/>
      <c r="EI32" s="85"/>
      <c r="EJ32" s="85"/>
      <c r="EK32" s="85"/>
      <c r="EL32" s="85"/>
      <c r="EM32" s="85"/>
      <c r="EN32" s="85"/>
      <c r="EO32" s="85"/>
      <c r="EP32" s="85"/>
      <c r="EQ32" s="85"/>
      <c r="ER32" s="85"/>
      <c r="ES32" s="85"/>
      <c r="ET32" s="85"/>
      <c r="EU32" s="85"/>
      <c r="EV32" s="85"/>
      <c r="EW32" s="85"/>
      <c r="EX32" s="85"/>
      <c r="EY32" s="85"/>
      <c r="EZ32" s="85"/>
      <c r="FA32" s="85"/>
      <c r="FB32" s="85"/>
      <c r="FC32" s="85"/>
      <c r="FD32" s="85"/>
      <c r="FE32" s="85"/>
      <c r="FF32" s="85"/>
      <c r="FG32" s="85"/>
      <c r="FH32" s="85"/>
      <c r="FI32" s="85"/>
      <c r="FJ32" s="85"/>
      <c r="FK32" s="85"/>
      <c r="FL32" s="85"/>
      <c r="FM32" s="85"/>
      <c r="FN32" s="85"/>
      <c r="FO32" s="85"/>
      <c r="FP32" s="85"/>
      <c r="FQ32" s="85"/>
      <c r="FR32" s="85"/>
      <c r="FS32" s="85"/>
      <c r="FT32" s="85"/>
      <c r="FU32" s="85"/>
      <c r="FV32" s="85"/>
      <c r="FW32" s="85"/>
      <c r="FX32" s="85"/>
      <c r="FY32" s="85"/>
      <c r="FZ32" s="85"/>
      <c r="GA32" s="85"/>
      <c r="GB32" s="85"/>
      <c r="GC32" s="85"/>
    </row>
    <row r="33" spans="1:185" x14ac:dyDescent="0.3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5"/>
      <c r="AN33" s="85"/>
      <c r="AO33" s="85"/>
      <c r="AP33" s="85"/>
      <c r="AQ33" s="85"/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  <c r="BD33" s="85"/>
      <c r="BE33" s="85"/>
      <c r="BF33" s="85"/>
      <c r="BG33" s="85"/>
      <c r="BH33" s="85"/>
      <c r="BI33" s="85"/>
      <c r="BJ33" s="85"/>
      <c r="BK33" s="85"/>
      <c r="BL33" s="85"/>
      <c r="BM33" s="85"/>
      <c r="BN33" s="85"/>
      <c r="BO33" s="85"/>
      <c r="BP33" s="85"/>
      <c r="BQ33" s="85"/>
      <c r="BR33" s="85"/>
      <c r="BS33" s="85"/>
      <c r="BT33" s="85"/>
      <c r="BU33" s="85"/>
      <c r="BV33" s="85"/>
      <c r="BW33" s="85"/>
      <c r="BX33" s="85"/>
      <c r="BY33" s="85"/>
      <c r="BZ33" s="85"/>
      <c r="CA33" s="85"/>
      <c r="CB33" s="85"/>
      <c r="CC33" s="85"/>
      <c r="CD33" s="85"/>
      <c r="CE33" s="85"/>
      <c r="CF33" s="85"/>
      <c r="CG33" s="85"/>
      <c r="CH33" s="85"/>
      <c r="CI33" s="85"/>
      <c r="CJ33" s="85"/>
      <c r="CK33" s="85"/>
      <c r="CL33" s="85"/>
      <c r="CM33" s="85"/>
      <c r="CN33" s="85"/>
      <c r="CO33" s="85"/>
      <c r="CP33" s="85"/>
      <c r="CQ33" s="85"/>
      <c r="CR33" s="85"/>
      <c r="CS33" s="85"/>
      <c r="CT33" s="85"/>
      <c r="CU33" s="85"/>
      <c r="CV33" s="85"/>
      <c r="CW33" s="85"/>
      <c r="CX33" s="85"/>
      <c r="CY33" s="85"/>
      <c r="CZ33" s="85"/>
      <c r="DA33" s="85"/>
      <c r="DB33" s="85"/>
      <c r="DC33" s="85"/>
      <c r="DD33" s="85"/>
      <c r="DE33" s="85"/>
      <c r="DF33" s="85"/>
      <c r="DG33" s="85"/>
      <c r="DH33" s="85"/>
      <c r="DI33" s="85"/>
      <c r="DJ33" s="85"/>
      <c r="DK33" s="85"/>
      <c r="DL33" s="85"/>
      <c r="DM33" s="85"/>
      <c r="DN33" s="85"/>
      <c r="DO33" s="85"/>
      <c r="DP33" s="85"/>
      <c r="DQ33" s="85"/>
      <c r="DR33" s="85"/>
      <c r="DS33" s="85"/>
      <c r="DT33" s="85"/>
      <c r="DU33" s="85"/>
      <c r="DV33" s="85"/>
      <c r="DW33" s="85"/>
      <c r="DX33" s="85"/>
      <c r="DY33" s="85"/>
      <c r="DZ33" s="85"/>
      <c r="EA33" s="85"/>
      <c r="EB33" s="85"/>
      <c r="EC33" s="85"/>
      <c r="ED33" s="85"/>
      <c r="EE33" s="85"/>
      <c r="EF33" s="85"/>
      <c r="EG33" s="85"/>
      <c r="EH33" s="85"/>
      <c r="EI33" s="85"/>
      <c r="EJ33" s="85"/>
      <c r="EK33" s="85"/>
      <c r="EL33" s="85"/>
      <c r="EM33" s="85"/>
      <c r="EN33" s="85"/>
      <c r="EO33" s="85"/>
      <c r="EP33" s="85"/>
      <c r="EQ33" s="85"/>
      <c r="ER33" s="85"/>
      <c r="ES33" s="85"/>
      <c r="ET33" s="85"/>
      <c r="EU33" s="85"/>
      <c r="EV33" s="85"/>
      <c r="EW33" s="85"/>
      <c r="EX33" s="85"/>
      <c r="EY33" s="85"/>
      <c r="EZ33" s="85"/>
      <c r="FA33" s="85"/>
      <c r="FB33" s="85"/>
      <c r="FC33" s="85"/>
      <c r="FD33" s="85"/>
      <c r="FE33" s="85"/>
      <c r="FF33" s="85"/>
      <c r="FG33" s="85"/>
      <c r="FH33" s="85"/>
      <c r="FI33" s="85"/>
      <c r="FJ33" s="85"/>
      <c r="FK33" s="85"/>
      <c r="FL33" s="85"/>
      <c r="FM33" s="85"/>
      <c r="FN33" s="85"/>
      <c r="FO33" s="85"/>
      <c r="FP33" s="85"/>
      <c r="FQ33" s="85"/>
      <c r="FR33" s="85"/>
      <c r="FS33" s="85"/>
      <c r="FT33" s="85"/>
      <c r="FU33" s="85"/>
      <c r="FV33" s="85"/>
      <c r="FW33" s="85"/>
      <c r="FX33" s="85"/>
      <c r="FY33" s="85"/>
      <c r="FZ33" s="85"/>
      <c r="GA33" s="85"/>
      <c r="GB33" s="85"/>
      <c r="GC33" s="85"/>
    </row>
    <row r="34" spans="1:185" x14ac:dyDescent="0.3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  <c r="CL34" s="85"/>
      <c r="CM34" s="85"/>
      <c r="CN34" s="85"/>
      <c r="CO34" s="85"/>
      <c r="CP34" s="85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  <c r="DF34" s="85"/>
      <c r="DG34" s="85"/>
      <c r="DH34" s="85"/>
      <c r="DI34" s="85"/>
      <c r="DJ34" s="85"/>
      <c r="DK34" s="85"/>
      <c r="DL34" s="85"/>
      <c r="DM34" s="85"/>
      <c r="DN34" s="85"/>
      <c r="DO34" s="85"/>
      <c r="DP34" s="85"/>
      <c r="DQ34" s="85"/>
      <c r="DR34" s="85"/>
      <c r="DS34" s="85"/>
      <c r="DT34" s="85"/>
      <c r="DU34" s="85"/>
      <c r="DV34" s="85"/>
      <c r="DW34" s="85"/>
      <c r="DX34" s="85"/>
      <c r="DY34" s="85"/>
      <c r="DZ34" s="85"/>
      <c r="EA34" s="85"/>
      <c r="EB34" s="85"/>
      <c r="EC34" s="85"/>
      <c r="ED34" s="85"/>
      <c r="EE34" s="85"/>
      <c r="EF34" s="85"/>
      <c r="EG34" s="85"/>
      <c r="EH34" s="85"/>
      <c r="EI34" s="85"/>
      <c r="EJ34" s="85"/>
      <c r="EK34" s="85"/>
      <c r="EL34" s="85"/>
      <c r="EM34" s="85"/>
      <c r="EN34" s="85"/>
      <c r="EO34" s="85"/>
      <c r="EP34" s="85"/>
      <c r="EQ34" s="85"/>
      <c r="ER34" s="85"/>
      <c r="ES34" s="85"/>
      <c r="ET34" s="85"/>
      <c r="EU34" s="85"/>
      <c r="EV34" s="85"/>
      <c r="EW34" s="85"/>
      <c r="EX34" s="85"/>
      <c r="EY34" s="85"/>
      <c r="EZ34" s="85"/>
      <c r="FA34" s="85"/>
      <c r="FB34" s="85"/>
      <c r="FC34" s="85"/>
      <c r="FD34" s="85"/>
      <c r="FE34" s="85"/>
      <c r="FF34" s="85"/>
      <c r="FG34" s="85"/>
      <c r="FH34" s="85"/>
      <c r="FI34" s="85"/>
      <c r="FJ34" s="85"/>
      <c r="FK34" s="85"/>
      <c r="FL34" s="85"/>
      <c r="FM34" s="85"/>
      <c r="FN34" s="85"/>
      <c r="FO34" s="85"/>
      <c r="FP34" s="85"/>
      <c r="FQ34" s="85"/>
      <c r="FR34" s="85"/>
      <c r="FS34" s="85"/>
      <c r="FT34" s="85"/>
      <c r="FU34" s="85"/>
      <c r="FV34" s="85"/>
      <c r="FW34" s="85"/>
      <c r="FX34" s="85"/>
      <c r="FY34" s="85"/>
      <c r="FZ34" s="85"/>
      <c r="GA34" s="85"/>
      <c r="GB34" s="85"/>
      <c r="GC34" s="85"/>
    </row>
    <row r="35" spans="1:185" x14ac:dyDescent="0.35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5"/>
      <c r="BY35" s="85"/>
      <c r="BZ35" s="85"/>
      <c r="CA35" s="85"/>
      <c r="CB35" s="85"/>
      <c r="CC35" s="85"/>
      <c r="CD35" s="85"/>
      <c r="CE35" s="85"/>
      <c r="CF35" s="85"/>
      <c r="CG35" s="85"/>
      <c r="CH35" s="85"/>
      <c r="CI35" s="85"/>
      <c r="CJ35" s="85"/>
      <c r="CK35" s="85"/>
      <c r="CL35" s="85"/>
      <c r="CM35" s="85"/>
      <c r="CN35" s="85"/>
      <c r="CO35" s="85"/>
      <c r="CP35" s="85"/>
      <c r="CQ35" s="85"/>
      <c r="CR35" s="85"/>
      <c r="CS35" s="85"/>
      <c r="CT35" s="85"/>
      <c r="CU35" s="85"/>
      <c r="CV35" s="85"/>
      <c r="CW35" s="85"/>
      <c r="CX35" s="85"/>
      <c r="CY35" s="85"/>
      <c r="CZ35" s="85"/>
      <c r="DA35" s="85"/>
      <c r="DB35" s="85"/>
      <c r="DC35" s="85"/>
      <c r="DD35" s="85"/>
      <c r="DE35" s="85"/>
      <c r="DF35" s="85"/>
      <c r="DG35" s="85"/>
      <c r="DH35" s="85"/>
      <c r="DI35" s="85"/>
      <c r="DJ35" s="85"/>
      <c r="DK35" s="85"/>
      <c r="DL35" s="85"/>
      <c r="DM35" s="85"/>
      <c r="DN35" s="85"/>
      <c r="DO35" s="85"/>
      <c r="DP35" s="85"/>
      <c r="DQ35" s="85"/>
      <c r="DR35" s="85"/>
      <c r="DS35" s="85"/>
      <c r="DT35" s="85"/>
      <c r="DU35" s="85"/>
      <c r="DV35" s="85"/>
      <c r="DW35" s="85"/>
      <c r="DX35" s="85"/>
      <c r="DY35" s="85"/>
      <c r="DZ35" s="85"/>
      <c r="EA35" s="85"/>
      <c r="EB35" s="85"/>
      <c r="EC35" s="85"/>
      <c r="ED35" s="85"/>
      <c r="EE35" s="85"/>
      <c r="EF35" s="85"/>
      <c r="EG35" s="85"/>
      <c r="EH35" s="85"/>
      <c r="EI35" s="85"/>
      <c r="EJ35" s="85"/>
      <c r="EK35" s="85"/>
      <c r="EL35" s="85"/>
      <c r="EM35" s="85"/>
      <c r="EN35" s="85"/>
      <c r="EO35" s="85"/>
      <c r="EP35" s="85"/>
      <c r="EQ35" s="85"/>
      <c r="ER35" s="85"/>
      <c r="ES35" s="85"/>
      <c r="ET35" s="85"/>
      <c r="EU35" s="85"/>
      <c r="EV35" s="85"/>
      <c r="EW35" s="85"/>
      <c r="EX35" s="85"/>
      <c r="EY35" s="85"/>
      <c r="EZ35" s="85"/>
      <c r="FA35" s="85"/>
      <c r="FB35" s="85"/>
      <c r="FC35" s="85"/>
      <c r="FD35" s="85"/>
      <c r="FE35" s="85"/>
      <c r="FF35" s="85"/>
      <c r="FG35" s="85"/>
      <c r="FH35" s="85"/>
      <c r="FI35" s="85"/>
      <c r="FJ35" s="85"/>
      <c r="FK35" s="85"/>
      <c r="FL35" s="85"/>
      <c r="FM35" s="85"/>
      <c r="FN35" s="85"/>
      <c r="FO35" s="85"/>
      <c r="FP35" s="85"/>
      <c r="FQ35" s="85"/>
      <c r="FR35" s="85"/>
      <c r="FS35" s="85"/>
      <c r="FT35" s="85"/>
      <c r="FU35" s="85"/>
      <c r="FV35" s="85"/>
      <c r="FW35" s="85"/>
      <c r="FX35" s="85"/>
      <c r="FY35" s="85"/>
      <c r="FZ35" s="85"/>
      <c r="GA35" s="85"/>
      <c r="GB35" s="85"/>
      <c r="GC35" s="85"/>
    </row>
    <row r="36" spans="1:185" x14ac:dyDescent="0.35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  <c r="BM36" s="85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5"/>
      <c r="CI36" s="85"/>
      <c r="CJ36" s="85"/>
      <c r="CK36" s="85"/>
      <c r="CL36" s="85"/>
      <c r="CM36" s="85"/>
      <c r="CN36" s="85"/>
      <c r="CO36" s="85"/>
      <c r="CP36" s="85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  <c r="DF36" s="85"/>
      <c r="DG36" s="85"/>
      <c r="DH36" s="85"/>
      <c r="DI36" s="85"/>
      <c r="DJ36" s="85"/>
      <c r="DK36" s="85"/>
      <c r="DL36" s="85"/>
      <c r="DM36" s="85"/>
      <c r="DN36" s="85"/>
      <c r="DO36" s="85"/>
      <c r="DP36" s="85"/>
      <c r="DQ36" s="85"/>
      <c r="DR36" s="85"/>
      <c r="DS36" s="85"/>
      <c r="DT36" s="85"/>
      <c r="DU36" s="85"/>
      <c r="DV36" s="85"/>
      <c r="DW36" s="85"/>
      <c r="DX36" s="85"/>
      <c r="DY36" s="85"/>
      <c r="DZ36" s="85"/>
      <c r="EA36" s="85"/>
      <c r="EB36" s="85"/>
      <c r="EC36" s="85"/>
      <c r="ED36" s="85"/>
      <c r="EE36" s="85"/>
      <c r="EF36" s="85"/>
      <c r="EG36" s="85"/>
      <c r="EH36" s="85"/>
      <c r="EI36" s="85"/>
      <c r="EJ36" s="85"/>
      <c r="EK36" s="85"/>
      <c r="EL36" s="85"/>
      <c r="EM36" s="85"/>
      <c r="EN36" s="85"/>
      <c r="EO36" s="85"/>
      <c r="EP36" s="85"/>
      <c r="EQ36" s="85"/>
      <c r="ER36" s="85"/>
      <c r="ES36" s="85"/>
      <c r="ET36" s="85"/>
      <c r="EU36" s="85"/>
      <c r="EV36" s="85"/>
      <c r="EW36" s="85"/>
      <c r="EX36" s="85"/>
      <c r="EY36" s="85"/>
      <c r="EZ36" s="85"/>
      <c r="FA36" s="85"/>
      <c r="FB36" s="85"/>
      <c r="FC36" s="85"/>
      <c r="FD36" s="85"/>
      <c r="FE36" s="85"/>
      <c r="FF36" s="85"/>
      <c r="FG36" s="85"/>
      <c r="FH36" s="85"/>
      <c r="FI36" s="85"/>
      <c r="FJ36" s="85"/>
      <c r="FK36" s="85"/>
      <c r="FL36" s="85"/>
      <c r="FM36" s="85"/>
      <c r="FN36" s="85"/>
      <c r="FO36" s="85"/>
      <c r="FP36" s="85"/>
      <c r="FQ36" s="85"/>
      <c r="FR36" s="85"/>
      <c r="FS36" s="85"/>
      <c r="FT36" s="85"/>
      <c r="FU36" s="85"/>
      <c r="FV36" s="85"/>
      <c r="FW36" s="85"/>
      <c r="FX36" s="85"/>
      <c r="FY36" s="85"/>
      <c r="FZ36" s="85"/>
      <c r="GA36" s="85"/>
      <c r="GB36" s="85"/>
      <c r="GC36" s="85"/>
    </row>
    <row r="37" spans="1:185" x14ac:dyDescent="0.35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  <c r="BE37" s="85"/>
      <c r="BF37" s="85"/>
      <c r="BG37" s="85"/>
      <c r="BH37" s="85"/>
      <c r="BI37" s="85"/>
      <c r="BJ37" s="85"/>
      <c r="BK37" s="85"/>
      <c r="BL37" s="85"/>
      <c r="BM37" s="85"/>
      <c r="BN37" s="85"/>
      <c r="BO37" s="85"/>
      <c r="BP37" s="85"/>
      <c r="BQ37" s="85"/>
      <c r="BR37" s="85"/>
      <c r="BS37" s="85"/>
      <c r="BT37" s="85"/>
      <c r="BU37" s="85"/>
      <c r="BV37" s="85"/>
      <c r="BW37" s="85"/>
      <c r="BX37" s="85"/>
      <c r="BY37" s="85"/>
      <c r="BZ37" s="85"/>
      <c r="CA37" s="85"/>
      <c r="CB37" s="85"/>
      <c r="CC37" s="85"/>
      <c r="CD37" s="85"/>
      <c r="CE37" s="85"/>
      <c r="CF37" s="85"/>
      <c r="CG37" s="85"/>
      <c r="CH37" s="85"/>
      <c r="CI37" s="85"/>
      <c r="CJ37" s="85"/>
      <c r="CK37" s="85"/>
      <c r="CL37" s="85"/>
      <c r="CM37" s="85"/>
      <c r="CN37" s="85"/>
      <c r="CO37" s="85"/>
      <c r="CP37" s="85"/>
      <c r="CQ37" s="85"/>
      <c r="CR37" s="85"/>
      <c r="CS37" s="85"/>
      <c r="CT37" s="85"/>
      <c r="CU37" s="85"/>
      <c r="CV37" s="85"/>
      <c r="CW37" s="85"/>
      <c r="CX37" s="85"/>
      <c r="CY37" s="85"/>
      <c r="CZ37" s="85"/>
      <c r="DA37" s="85"/>
      <c r="DB37" s="85"/>
      <c r="DC37" s="85"/>
      <c r="DD37" s="85"/>
      <c r="DE37" s="85"/>
      <c r="DF37" s="85"/>
      <c r="DG37" s="85"/>
      <c r="DH37" s="85"/>
      <c r="DI37" s="85"/>
      <c r="DJ37" s="85"/>
      <c r="DK37" s="85"/>
      <c r="DL37" s="85"/>
      <c r="DM37" s="85"/>
      <c r="DN37" s="85"/>
      <c r="DO37" s="85"/>
      <c r="DP37" s="85"/>
      <c r="DQ37" s="85"/>
      <c r="DR37" s="85"/>
      <c r="DS37" s="85"/>
      <c r="DT37" s="85"/>
      <c r="DU37" s="85"/>
      <c r="DV37" s="85"/>
      <c r="DW37" s="85"/>
      <c r="DX37" s="85"/>
      <c r="DY37" s="85"/>
      <c r="DZ37" s="85"/>
      <c r="EA37" s="85"/>
      <c r="EB37" s="85"/>
      <c r="EC37" s="85"/>
      <c r="ED37" s="85"/>
      <c r="EE37" s="85"/>
      <c r="EF37" s="85"/>
      <c r="EG37" s="85"/>
      <c r="EH37" s="85"/>
      <c r="EI37" s="85"/>
      <c r="EJ37" s="85"/>
      <c r="EK37" s="85"/>
      <c r="EL37" s="85"/>
      <c r="EM37" s="85"/>
      <c r="EN37" s="85"/>
      <c r="EO37" s="85"/>
      <c r="EP37" s="85"/>
      <c r="EQ37" s="85"/>
      <c r="ER37" s="85"/>
      <c r="ES37" s="85"/>
      <c r="ET37" s="85"/>
      <c r="EU37" s="85"/>
      <c r="EV37" s="85"/>
      <c r="EW37" s="85"/>
      <c r="EX37" s="85"/>
      <c r="EY37" s="85"/>
      <c r="EZ37" s="85"/>
      <c r="FA37" s="85"/>
      <c r="FB37" s="85"/>
      <c r="FC37" s="85"/>
      <c r="FD37" s="85"/>
      <c r="FE37" s="85"/>
      <c r="FF37" s="85"/>
      <c r="FG37" s="85"/>
      <c r="FH37" s="85"/>
      <c r="FI37" s="85"/>
      <c r="FJ37" s="85"/>
      <c r="FK37" s="85"/>
      <c r="FL37" s="85"/>
      <c r="FM37" s="85"/>
      <c r="FN37" s="85"/>
      <c r="FO37" s="85"/>
      <c r="FP37" s="85"/>
      <c r="FQ37" s="85"/>
      <c r="FR37" s="85"/>
      <c r="FS37" s="85"/>
      <c r="FT37" s="85"/>
      <c r="FU37" s="85"/>
      <c r="FV37" s="85"/>
      <c r="FW37" s="85"/>
      <c r="FX37" s="85"/>
      <c r="FY37" s="85"/>
      <c r="FZ37" s="85"/>
      <c r="GA37" s="85"/>
      <c r="GB37" s="85"/>
      <c r="GC37" s="85"/>
    </row>
    <row r="38" spans="1:185" x14ac:dyDescent="0.35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5"/>
      <c r="EC38" s="85"/>
      <c r="ED38" s="85"/>
      <c r="EE38" s="85"/>
      <c r="EF38" s="85"/>
      <c r="EG38" s="85"/>
      <c r="EH38" s="85"/>
      <c r="EI38" s="85"/>
      <c r="EJ38" s="85"/>
      <c r="EK38" s="85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5"/>
      <c r="FC38" s="85"/>
      <c r="FD38" s="85"/>
      <c r="FE38" s="85"/>
      <c r="FF38" s="85"/>
      <c r="FG38" s="85"/>
      <c r="FH38" s="85"/>
      <c r="FI38" s="85"/>
      <c r="FJ38" s="85"/>
      <c r="FK38" s="85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5"/>
      <c r="GC38" s="85"/>
    </row>
    <row r="39" spans="1:185" x14ac:dyDescent="0.35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/>
      <c r="BE39" s="85"/>
      <c r="BF39" s="85"/>
      <c r="BG39" s="85"/>
      <c r="BH39" s="85"/>
      <c r="BI39" s="85"/>
      <c r="BJ39" s="85"/>
      <c r="BK39" s="85"/>
      <c r="BL39" s="85"/>
      <c r="BM39" s="85"/>
      <c r="BN39" s="85"/>
      <c r="BO39" s="85"/>
      <c r="BP39" s="85"/>
      <c r="BQ39" s="85"/>
      <c r="BR39" s="85"/>
      <c r="BS39" s="85"/>
      <c r="BT39" s="85"/>
      <c r="BU39" s="85"/>
      <c r="BV39" s="85"/>
      <c r="BW39" s="85"/>
      <c r="BX39" s="85"/>
      <c r="BY39" s="85"/>
      <c r="BZ39" s="85"/>
      <c r="CA39" s="85"/>
      <c r="CB39" s="85"/>
      <c r="CC39" s="85"/>
      <c r="CD39" s="85"/>
      <c r="CE39" s="85"/>
      <c r="CF39" s="85"/>
      <c r="CG39" s="85"/>
      <c r="CH39" s="85"/>
      <c r="CI39" s="85"/>
      <c r="CJ39" s="85"/>
      <c r="CK39" s="85"/>
      <c r="CL39" s="85"/>
      <c r="CM39" s="85"/>
      <c r="CN39" s="85"/>
      <c r="CO39" s="85"/>
      <c r="CP39" s="85"/>
      <c r="CQ39" s="85"/>
      <c r="CR39" s="85"/>
      <c r="CS39" s="85"/>
      <c r="CT39" s="85"/>
      <c r="CU39" s="85"/>
      <c r="CV39" s="85"/>
      <c r="CW39" s="85"/>
      <c r="CX39" s="85"/>
      <c r="CY39" s="85"/>
      <c r="CZ39" s="85"/>
      <c r="DA39" s="85"/>
      <c r="DB39" s="85"/>
      <c r="DC39" s="85"/>
      <c r="DD39" s="85"/>
      <c r="DE39" s="85"/>
      <c r="DF39" s="85"/>
      <c r="DG39" s="85"/>
      <c r="DH39" s="85"/>
      <c r="DI39" s="85"/>
      <c r="DJ39" s="85"/>
      <c r="DK39" s="85"/>
      <c r="DL39" s="85"/>
      <c r="DM39" s="85"/>
      <c r="DN39" s="85"/>
      <c r="DO39" s="85"/>
      <c r="DP39" s="85"/>
      <c r="DQ39" s="85"/>
      <c r="DR39" s="85"/>
      <c r="DS39" s="85"/>
      <c r="DT39" s="85"/>
      <c r="DU39" s="85"/>
      <c r="DV39" s="85"/>
      <c r="DW39" s="85"/>
      <c r="DX39" s="85"/>
      <c r="DY39" s="85"/>
      <c r="DZ39" s="85"/>
      <c r="EA39" s="85"/>
      <c r="EB39" s="85"/>
      <c r="EC39" s="85"/>
      <c r="ED39" s="85"/>
      <c r="EE39" s="85"/>
      <c r="EF39" s="85"/>
      <c r="EG39" s="85"/>
      <c r="EH39" s="85"/>
      <c r="EI39" s="85"/>
      <c r="EJ39" s="85"/>
      <c r="EK39" s="85"/>
      <c r="EL39" s="85"/>
      <c r="EM39" s="85"/>
      <c r="EN39" s="85"/>
      <c r="EO39" s="85"/>
      <c r="EP39" s="85"/>
      <c r="EQ39" s="85"/>
      <c r="ER39" s="85"/>
      <c r="ES39" s="85"/>
      <c r="ET39" s="85"/>
      <c r="EU39" s="85"/>
      <c r="EV39" s="85"/>
      <c r="EW39" s="85"/>
      <c r="EX39" s="85"/>
      <c r="EY39" s="85"/>
      <c r="EZ39" s="85"/>
      <c r="FA39" s="85"/>
      <c r="FB39" s="85"/>
      <c r="FC39" s="85"/>
      <c r="FD39" s="85"/>
      <c r="FE39" s="85"/>
      <c r="FF39" s="85"/>
      <c r="FG39" s="85"/>
      <c r="FH39" s="85"/>
      <c r="FI39" s="85"/>
      <c r="FJ39" s="85"/>
      <c r="FK39" s="85"/>
      <c r="FL39" s="85"/>
      <c r="FM39" s="85"/>
      <c r="FN39" s="85"/>
      <c r="FO39" s="85"/>
      <c r="FP39" s="85"/>
      <c r="FQ39" s="85"/>
      <c r="FR39" s="85"/>
      <c r="FS39" s="85"/>
      <c r="FT39" s="85"/>
      <c r="FU39" s="85"/>
      <c r="FV39" s="85"/>
      <c r="FW39" s="85"/>
      <c r="FX39" s="85"/>
      <c r="FY39" s="85"/>
      <c r="FZ39" s="85"/>
      <c r="GA39" s="85"/>
      <c r="GB39" s="85"/>
      <c r="GC39" s="85"/>
    </row>
    <row r="40" spans="1:185" x14ac:dyDescent="0.35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  <c r="BD40" s="85"/>
      <c r="BE40" s="85"/>
      <c r="BF40" s="85"/>
      <c r="BG40" s="85"/>
      <c r="BH40" s="85"/>
      <c r="BI40" s="85"/>
      <c r="BJ40" s="85"/>
      <c r="BK40" s="85"/>
      <c r="BL40" s="85"/>
      <c r="BM40" s="85"/>
      <c r="BN40" s="85"/>
      <c r="BO40" s="85"/>
      <c r="BP40" s="85"/>
      <c r="BQ40" s="85"/>
      <c r="BR40" s="85"/>
      <c r="BS40" s="85"/>
      <c r="BT40" s="85"/>
      <c r="BU40" s="85"/>
      <c r="BV40" s="85"/>
      <c r="BW40" s="85"/>
      <c r="BX40" s="85"/>
      <c r="BY40" s="85"/>
      <c r="BZ40" s="85"/>
      <c r="CA40" s="85"/>
      <c r="CB40" s="85"/>
      <c r="CC40" s="85"/>
      <c r="CD40" s="85"/>
      <c r="CE40" s="85"/>
      <c r="CF40" s="85"/>
      <c r="CG40" s="85"/>
      <c r="CH40" s="85"/>
      <c r="CI40" s="85"/>
      <c r="CJ40" s="85"/>
      <c r="CK40" s="85"/>
      <c r="CL40" s="85"/>
      <c r="CM40" s="85"/>
      <c r="CN40" s="85"/>
      <c r="CO40" s="85"/>
      <c r="CP40" s="85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  <c r="DF40" s="85"/>
      <c r="DG40" s="85"/>
      <c r="DH40" s="85"/>
      <c r="DI40" s="85"/>
      <c r="DJ40" s="85"/>
      <c r="DK40" s="85"/>
      <c r="DL40" s="85"/>
      <c r="DM40" s="85"/>
      <c r="DN40" s="85"/>
      <c r="DO40" s="85"/>
      <c r="DP40" s="85"/>
      <c r="DQ40" s="85"/>
      <c r="DR40" s="85"/>
      <c r="DS40" s="85"/>
      <c r="DT40" s="85"/>
      <c r="DU40" s="85"/>
      <c r="DV40" s="85"/>
      <c r="DW40" s="85"/>
      <c r="DX40" s="85"/>
      <c r="DY40" s="85"/>
      <c r="DZ40" s="85"/>
      <c r="EA40" s="85"/>
      <c r="EB40" s="85"/>
      <c r="EC40" s="85"/>
      <c r="ED40" s="85"/>
      <c r="EE40" s="85"/>
      <c r="EF40" s="85"/>
      <c r="EG40" s="85"/>
      <c r="EH40" s="85"/>
      <c r="EI40" s="85"/>
      <c r="EJ40" s="85"/>
      <c r="EK40" s="85"/>
      <c r="EL40" s="85"/>
      <c r="EM40" s="85"/>
      <c r="EN40" s="85"/>
      <c r="EO40" s="85"/>
      <c r="EP40" s="85"/>
      <c r="EQ40" s="85"/>
      <c r="ER40" s="85"/>
      <c r="ES40" s="85"/>
      <c r="ET40" s="85"/>
      <c r="EU40" s="85"/>
      <c r="EV40" s="85"/>
      <c r="EW40" s="85"/>
      <c r="EX40" s="85"/>
      <c r="EY40" s="85"/>
      <c r="EZ40" s="85"/>
      <c r="FA40" s="85"/>
      <c r="FB40" s="85"/>
      <c r="FC40" s="85"/>
      <c r="FD40" s="85"/>
      <c r="FE40" s="85"/>
      <c r="FF40" s="85"/>
      <c r="FG40" s="85"/>
      <c r="FH40" s="85"/>
      <c r="FI40" s="85"/>
      <c r="FJ40" s="85"/>
      <c r="FK40" s="85"/>
      <c r="FL40" s="85"/>
      <c r="FM40" s="85"/>
      <c r="FN40" s="85"/>
      <c r="FO40" s="85"/>
      <c r="FP40" s="85"/>
      <c r="FQ40" s="85"/>
      <c r="FR40" s="85"/>
      <c r="FS40" s="85"/>
      <c r="FT40" s="85"/>
      <c r="FU40" s="85"/>
      <c r="FV40" s="85"/>
      <c r="FW40" s="85"/>
      <c r="FX40" s="85"/>
      <c r="FY40" s="85"/>
      <c r="FZ40" s="85"/>
      <c r="GA40" s="85"/>
      <c r="GB40" s="85"/>
      <c r="GC40" s="85"/>
    </row>
    <row r="41" spans="1:185" x14ac:dyDescent="0.3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5"/>
      <c r="BN41" s="85"/>
      <c r="BO41" s="85"/>
      <c r="BP41" s="85"/>
      <c r="BQ41" s="85"/>
      <c r="BR41" s="85"/>
      <c r="BS41" s="85"/>
      <c r="BT41" s="85"/>
      <c r="BU41" s="85"/>
      <c r="BV41" s="85"/>
      <c r="BW41" s="85"/>
      <c r="BX41" s="85"/>
      <c r="BY41" s="85"/>
      <c r="BZ41" s="85"/>
      <c r="CA41" s="85"/>
      <c r="CB41" s="85"/>
      <c r="CC41" s="85"/>
      <c r="CD41" s="85"/>
      <c r="CE41" s="85"/>
      <c r="CF41" s="85"/>
      <c r="CG41" s="85"/>
      <c r="CH41" s="85"/>
      <c r="CI41" s="85"/>
      <c r="CJ41" s="85"/>
      <c r="CK41" s="85"/>
      <c r="CL41" s="85"/>
      <c r="CM41" s="85"/>
      <c r="CN41" s="85"/>
      <c r="CO41" s="85"/>
      <c r="CP41" s="85"/>
      <c r="CQ41" s="85"/>
      <c r="CR41" s="85"/>
      <c r="CS41" s="85"/>
      <c r="CT41" s="85"/>
      <c r="CU41" s="85"/>
      <c r="CV41" s="85"/>
      <c r="CW41" s="85"/>
      <c r="CX41" s="85"/>
      <c r="CY41" s="85"/>
      <c r="CZ41" s="85"/>
      <c r="DA41" s="85"/>
      <c r="DB41" s="85"/>
      <c r="DC41" s="85"/>
      <c r="DD41" s="85"/>
      <c r="DE41" s="85"/>
      <c r="DF41" s="85"/>
      <c r="DG41" s="85"/>
      <c r="DH41" s="85"/>
      <c r="DI41" s="85"/>
      <c r="DJ41" s="85"/>
      <c r="DK41" s="85"/>
      <c r="DL41" s="85"/>
      <c r="DM41" s="85"/>
      <c r="DN41" s="85"/>
      <c r="DO41" s="85"/>
      <c r="DP41" s="85"/>
      <c r="DQ41" s="85"/>
      <c r="DR41" s="85"/>
      <c r="DS41" s="85"/>
      <c r="DT41" s="85"/>
      <c r="DU41" s="85"/>
      <c r="DV41" s="85"/>
      <c r="DW41" s="85"/>
      <c r="DX41" s="85"/>
      <c r="DY41" s="85"/>
      <c r="DZ41" s="85"/>
      <c r="EA41" s="85"/>
      <c r="EB41" s="85"/>
      <c r="EC41" s="85"/>
      <c r="ED41" s="85"/>
      <c r="EE41" s="85"/>
      <c r="EF41" s="85"/>
      <c r="EG41" s="85"/>
      <c r="EH41" s="85"/>
      <c r="EI41" s="85"/>
      <c r="EJ41" s="85"/>
      <c r="EK41" s="85"/>
      <c r="EL41" s="85"/>
      <c r="EM41" s="85"/>
      <c r="EN41" s="85"/>
      <c r="EO41" s="85"/>
      <c r="EP41" s="85"/>
      <c r="EQ41" s="85"/>
      <c r="ER41" s="85"/>
      <c r="ES41" s="85"/>
      <c r="ET41" s="85"/>
      <c r="EU41" s="85"/>
      <c r="EV41" s="85"/>
      <c r="EW41" s="85"/>
      <c r="EX41" s="85"/>
      <c r="EY41" s="85"/>
      <c r="EZ41" s="85"/>
      <c r="FA41" s="85"/>
      <c r="FB41" s="85"/>
      <c r="FC41" s="85"/>
      <c r="FD41" s="85"/>
      <c r="FE41" s="85"/>
      <c r="FF41" s="85"/>
      <c r="FG41" s="85"/>
      <c r="FH41" s="85"/>
      <c r="FI41" s="85"/>
      <c r="FJ41" s="85"/>
      <c r="FK41" s="85"/>
      <c r="FL41" s="85"/>
      <c r="FM41" s="85"/>
      <c r="FN41" s="85"/>
      <c r="FO41" s="85"/>
      <c r="FP41" s="85"/>
      <c r="FQ41" s="85"/>
      <c r="FR41" s="85"/>
      <c r="FS41" s="85"/>
      <c r="FT41" s="85"/>
      <c r="FU41" s="85"/>
      <c r="FV41" s="85"/>
      <c r="FW41" s="85"/>
      <c r="FX41" s="85"/>
      <c r="FY41" s="85"/>
      <c r="FZ41" s="85"/>
      <c r="GA41" s="85"/>
      <c r="GB41" s="85"/>
      <c r="GC41" s="85"/>
    </row>
    <row r="42" spans="1:185" x14ac:dyDescent="0.3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  <c r="BL42" s="85"/>
      <c r="BM42" s="85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  <c r="DF42" s="85"/>
      <c r="DG42" s="85"/>
      <c r="DH42" s="85"/>
      <c r="DI42" s="85"/>
      <c r="DJ42" s="85"/>
      <c r="DK42" s="85"/>
      <c r="DL42" s="85"/>
      <c r="DM42" s="85"/>
      <c r="DN42" s="85"/>
      <c r="DO42" s="85"/>
      <c r="DP42" s="85"/>
      <c r="DQ42" s="85"/>
      <c r="DR42" s="85"/>
      <c r="DS42" s="85"/>
      <c r="DT42" s="85"/>
      <c r="DU42" s="85"/>
      <c r="DV42" s="85"/>
      <c r="DW42" s="85"/>
      <c r="DX42" s="85"/>
      <c r="DY42" s="85"/>
      <c r="DZ42" s="85"/>
      <c r="EA42" s="85"/>
      <c r="EB42" s="85"/>
      <c r="EC42" s="85"/>
      <c r="ED42" s="85"/>
      <c r="EE42" s="85"/>
      <c r="EF42" s="85"/>
      <c r="EG42" s="85"/>
      <c r="EH42" s="85"/>
      <c r="EI42" s="85"/>
      <c r="EJ42" s="85"/>
      <c r="EK42" s="85"/>
      <c r="EL42" s="85"/>
      <c r="EM42" s="85"/>
      <c r="EN42" s="85"/>
      <c r="EO42" s="85"/>
      <c r="EP42" s="85"/>
      <c r="EQ42" s="85"/>
      <c r="ER42" s="85"/>
      <c r="ES42" s="85"/>
      <c r="ET42" s="85"/>
      <c r="EU42" s="85"/>
      <c r="EV42" s="85"/>
      <c r="EW42" s="85"/>
      <c r="EX42" s="85"/>
      <c r="EY42" s="85"/>
      <c r="EZ42" s="85"/>
      <c r="FA42" s="85"/>
      <c r="FB42" s="85"/>
      <c r="FC42" s="85"/>
      <c r="FD42" s="85"/>
      <c r="FE42" s="85"/>
      <c r="FF42" s="85"/>
      <c r="FG42" s="85"/>
      <c r="FH42" s="85"/>
      <c r="FI42" s="85"/>
      <c r="FJ42" s="85"/>
      <c r="FK42" s="85"/>
      <c r="FL42" s="85"/>
      <c r="FM42" s="85"/>
      <c r="FN42" s="85"/>
      <c r="FO42" s="85"/>
      <c r="FP42" s="85"/>
      <c r="FQ42" s="85"/>
      <c r="FR42" s="85"/>
      <c r="FS42" s="85"/>
      <c r="FT42" s="85"/>
      <c r="FU42" s="85"/>
      <c r="FV42" s="85"/>
      <c r="FW42" s="85"/>
      <c r="FX42" s="85"/>
      <c r="FY42" s="85"/>
      <c r="FZ42" s="85"/>
      <c r="GA42" s="85"/>
      <c r="GB42" s="85"/>
      <c r="GC42" s="85"/>
    </row>
    <row r="43" spans="1:185" x14ac:dyDescent="0.3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  <c r="AU43" s="85"/>
      <c r="AV43" s="85"/>
      <c r="AW43" s="85"/>
      <c r="AX43" s="85"/>
      <c r="AY43" s="85"/>
      <c r="AZ43" s="85"/>
      <c r="BA43" s="85"/>
      <c r="BB43" s="85"/>
      <c r="BC43" s="85"/>
      <c r="BD43" s="85"/>
      <c r="BE43" s="85"/>
      <c r="BF43" s="85"/>
      <c r="BG43" s="85"/>
      <c r="BH43" s="85"/>
      <c r="BI43" s="85"/>
      <c r="BJ43" s="85"/>
      <c r="BK43" s="85"/>
      <c r="BL43" s="85"/>
      <c r="BM43" s="85"/>
      <c r="BN43" s="85"/>
      <c r="BO43" s="85"/>
      <c r="BP43" s="85"/>
      <c r="BQ43" s="85"/>
      <c r="BR43" s="85"/>
      <c r="BS43" s="85"/>
      <c r="BT43" s="85"/>
      <c r="BU43" s="85"/>
      <c r="BV43" s="85"/>
      <c r="BW43" s="85"/>
      <c r="BX43" s="85"/>
      <c r="BY43" s="85"/>
      <c r="BZ43" s="85"/>
      <c r="CA43" s="85"/>
      <c r="CB43" s="85"/>
      <c r="CC43" s="85"/>
      <c r="CD43" s="85"/>
      <c r="CE43" s="85"/>
      <c r="CF43" s="85"/>
      <c r="CG43" s="85"/>
      <c r="CH43" s="85"/>
      <c r="CI43" s="85"/>
      <c r="CJ43" s="85"/>
      <c r="CK43" s="85"/>
      <c r="CL43" s="85"/>
      <c r="CM43" s="85"/>
      <c r="CN43" s="85"/>
      <c r="CO43" s="85"/>
      <c r="CP43" s="85"/>
      <c r="CQ43" s="85"/>
      <c r="CR43" s="85"/>
      <c r="CS43" s="85"/>
      <c r="CT43" s="85"/>
      <c r="CU43" s="85"/>
      <c r="CV43" s="85"/>
      <c r="CW43" s="85"/>
      <c r="CX43" s="85"/>
      <c r="CY43" s="85"/>
      <c r="CZ43" s="85"/>
      <c r="DA43" s="85"/>
      <c r="DB43" s="85"/>
      <c r="DC43" s="85"/>
      <c r="DD43" s="85"/>
      <c r="DE43" s="85"/>
      <c r="DF43" s="85"/>
      <c r="DG43" s="85"/>
      <c r="DH43" s="85"/>
      <c r="DI43" s="85"/>
      <c r="DJ43" s="85"/>
      <c r="DK43" s="85"/>
      <c r="DL43" s="85"/>
      <c r="DM43" s="85"/>
      <c r="DN43" s="85"/>
      <c r="DO43" s="85"/>
      <c r="DP43" s="85"/>
      <c r="DQ43" s="85"/>
      <c r="DR43" s="85"/>
      <c r="DS43" s="85"/>
      <c r="DT43" s="85"/>
      <c r="DU43" s="85"/>
      <c r="DV43" s="85"/>
      <c r="DW43" s="85"/>
      <c r="DX43" s="85"/>
      <c r="DY43" s="85"/>
      <c r="DZ43" s="85"/>
      <c r="EA43" s="85"/>
      <c r="EB43" s="85"/>
      <c r="EC43" s="85"/>
      <c r="ED43" s="85"/>
      <c r="EE43" s="85"/>
      <c r="EF43" s="85"/>
      <c r="EG43" s="85"/>
      <c r="EH43" s="85"/>
      <c r="EI43" s="85"/>
      <c r="EJ43" s="85"/>
      <c r="EK43" s="85"/>
      <c r="EL43" s="85"/>
      <c r="EM43" s="85"/>
      <c r="EN43" s="85"/>
      <c r="EO43" s="85"/>
      <c r="EP43" s="85"/>
      <c r="EQ43" s="85"/>
      <c r="ER43" s="85"/>
      <c r="ES43" s="85"/>
      <c r="ET43" s="85"/>
      <c r="EU43" s="85"/>
      <c r="EV43" s="85"/>
      <c r="EW43" s="85"/>
      <c r="EX43" s="85"/>
      <c r="EY43" s="85"/>
      <c r="EZ43" s="85"/>
      <c r="FA43" s="85"/>
      <c r="FB43" s="85"/>
      <c r="FC43" s="85"/>
      <c r="FD43" s="85"/>
      <c r="FE43" s="85"/>
      <c r="FF43" s="85"/>
      <c r="FG43" s="85"/>
      <c r="FH43" s="85"/>
      <c r="FI43" s="85"/>
      <c r="FJ43" s="85"/>
      <c r="FK43" s="85"/>
      <c r="FL43" s="85"/>
      <c r="FM43" s="85"/>
      <c r="FN43" s="85"/>
      <c r="FO43" s="85"/>
      <c r="FP43" s="85"/>
      <c r="FQ43" s="85"/>
      <c r="FR43" s="85"/>
      <c r="FS43" s="85"/>
      <c r="FT43" s="85"/>
      <c r="FU43" s="85"/>
      <c r="FV43" s="85"/>
      <c r="FW43" s="85"/>
      <c r="FX43" s="85"/>
      <c r="FY43" s="85"/>
      <c r="FZ43" s="85"/>
      <c r="GA43" s="85"/>
      <c r="GB43" s="85"/>
      <c r="GC43" s="85"/>
    </row>
    <row r="44" spans="1:185" x14ac:dyDescent="0.3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  <c r="AT44" s="85"/>
      <c r="AU44" s="85"/>
      <c r="AV44" s="85"/>
      <c r="AW44" s="85"/>
      <c r="AX44" s="85"/>
      <c r="AY44" s="85"/>
      <c r="AZ44" s="85"/>
      <c r="BA44" s="85"/>
      <c r="BB44" s="85"/>
      <c r="BC44" s="85"/>
      <c r="BD44" s="85"/>
      <c r="BE44" s="85"/>
      <c r="BF44" s="85"/>
      <c r="BG44" s="85"/>
      <c r="BH44" s="85"/>
      <c r="BI44" s="85"/>
      <c r="BJ44" s="85"/>
      <c r="BK44" s="85"/>
      <c r="BL44" s="85"/>
      <c r="BM44" s="85"/>
      <c r="BN44" s="85"/>
      <c r="BO44" s="85"/>
      <c r="BP44" s="85"/>
      <c r="BQ44" s="85"/>
      <c r="BR44" s="85"/>
      <c r="BS44" s="85"/>
      <c r="BT44" s="85"/>
      <c r="BU44" s="85"/>
      <c r="BV44" s="85"/>
      <c r="BW44" s="85"/>
      <c r="BX44" s="85"/>
      <c r="BY44" s="85"/>
      <c r="BZ44" s="85"/>
      <c r="CA44" s="85"/>
      <c r="CB44" s="85"/>
      <c r="CC44" s="85"/>
      <c r="CD44" s="85"/>
      <c r="CE44" s="85"/>
      <c r="CF44" s="85"/>
      <c r="CG44" s="85"/>
      <c r="CH44" s="85"/>
      <c r="CI44" s="85"/>
      <c r="CJ44" s="85"/>
      <c r="CK44" s="85"/>
      <c r="CL44" s="85"/>
      <c r="CM44" s="85"/>
      <c r="CN44" s="85"/>
      <c r="CO44" s="85"/>
      <c r="CP44" s="85"/>
      <c r="CQ44" s="85"/>
      <c r="CR44" s="85"/>
      <c r="CS44" s="85"/>
      <c r="CT44" s="85"/>
      <c r="CU44" s="85"/>
      <c r="CV44" s="85"/>
      <c r="CW44" s="85"/>
      <c r="CX44" s="85"/>
      <c r="CY44" s="85"/>
      <c r="CZ44" s="85"/>
      <c r="DA44" s="85"/>
      <c r="DB44" s="85"/>
      <c r="DC44" s="85"/>
      <c r="DD44" s="85"/>
      <c r="DE44" s="85"/>
      <c r="DF44" s="85"/>
      <c r="DG44" s="85"/>
      <c r="DH44" s="85"/>
      <c r="DI44" s="85"/>
      <c r="DJ44" s="85"/>
      <c r="DK44" s="85"/>
      <c r="DL44" s="85"/>
      <c r="DM44" s="85"/>
      <c r="DN44" s="85"/>
      <c r="DO44" s="85"/>
      <c r="DP44" s="85"/>
      <c r="DQ44" s="85"/>
      <c r="DR44" s="85"/>
      <c r="DS44" s="85"/>
      <c r="DT44" s="85"/>
      <c r="DU44" s="85"/>
      <c r="DV44" s="85"/>
      <c r="DW44" s="85"/>
      <c r="DX44" s="85"/>
      <c r="DY44" s="85"/>
      <c r="DZ44" s="85"/>
      <c r="EA44" s="85"/>
      <c r="EB44" s="85"/>
      <c r="EC44" s="85"/>
      <c r="ED44" s="85"/>
      <c r="EE44" s="85"/>
      <c r="EF44" s="85"/>
      <c r="EG44" s="85"/>
      <c r="EH44" s="85"/>
      <c r="EI44" s="85"/>
      <c r="EJ44" s="85"/>
      <c r="EK44" s="85"/>
      <c r="EL44" s="85"/>
      <c r="EM44" s="85"/>
      <c r="EN44" s="85"/>
      <c r="EO44" s="85"/>
      <c r="EP44" s="85"/>
      <c r="EQ44" s="85"/>
      <c r="ER44" s="85"/>
      <c r="ES44" s="85"/>
      <c r="ET44" s="85"/>
      <c r="EU44" s="85"/>
      <c r="EV44" s="85"/>
      <c r="EW44" s="85"/>
      <c r="EX44" s="85"/>
      <c r="EY44" s="85"/>
      <c r="EZ44" s="85"/>
      <c r="FA44" s="85"/>
      <c r="FB44" s="85"/>
      <c r="FC44" s="85"/>
      <c r="FD44" s="85"/>
      <c r="FE44" s="85"/>
      <c r="FF44" s="85"/>
      <c r="FG44" s="85"/>
      <c r="FH44" s="85"/>
      <c r="FI44" s="85"/>
      <c r="FJ44" s="85"/>
      <c r="FK44" s="85"/>
      <c r="FL44" s="85"/>
      <c r="FM44" s="85"/>
      <c r="FN44" s="85"/>
      <c r="FO44" s="85"/>
      <c r="FP44" s="85"/>
      <c r="FQ44" s="85"/>
      <c r="FR44" s="85"/>
      <c r="FS44" s="85"/>
      <c r="FT44" s="85"/>
      <c r="FU44" s="85"/>
      <c r="FV44" s="85"/>
      <c r="FW44" s="85"/>
      <c r="FX44" s="85"/>
      <c r="FY44" s="85"/>
      <c r="FZ44" s="85"/>
      <c r="GA44" s="85"/>
      <c r="GB44" s="85"/>
      <c r="GC44" s="85"/>
    </row>
    <row r="45" spans="1:185" x14ac:dyDescent="0.3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AZ45" s="85"/>
      <c r="BA45" s="85"/>
      <c r="BB45" s="85"/>
      <c r="BC45" s="85"/>
      <c r="BD45" s="85"/>
      <c r="BE45" s="85"/>
      <c r="BF45" s="85"/>
      <c r="BG45" s="85"/>
      <c r="BH45" s="85"/>
      <c r="BI45" s="85"/>
      <c r="BJ45" s="85"/>
      <c r="BK45" s="85"/>
      <c r="BL45" s="85"/>
      <c r="BM45" s="85"/>
      <c r="BN45" s="85"/>
      <c r="BO45" s="85"/>
      <c r="BP45" s="85"/>
      <c r="BQ45" s="85"/>
      <c r="BR45" s="85"/>
      <c r="BS45" s="85"/>
      <c r="BT45" s="85"/>
      <c r="BU45" s="85"/>
      <c r="BV45" s="85"/>
      <c r="BW45" s="85"/>
      <c r="BX45" s="85"/>
      <c r="BY45" s="85"/>
      <c r="BZ45" s="85"/>
      <c r="CA45" s="85"/>
      <c r="CB45" s="85"/>
      <c r="CC45" s="85"/>
      <c r="CD45" s="85"/>
      <c r="CE45" s="85"/>
      <c r="CF45" s="85"/>
      <c r="CG45" s="85"/>
      <c r="CH45" s="85"/>
      <c r="CI45" s="85"/>
      <c r="CJ45" s="85"/>
      <c r="CK45" s="85"/>
      <c r="CL45" s="85"/>
      <c r="CM45" s="85"/>
      <c r="CN45" s="85"/>
      <c r="CO45" s="85"/>
      <c r="CP45" s="85"/>
      <c r="CQ45" s="85"/>
      <c r="CR45" s="85"/>
      <c r="CS45" s="85"/>
      <c r="CT45" s="85"/>
      <c r="CU45" s="85"/>
      <c r="CV45" s="85"/>
      <c r="CW45" s="85"/>
      <c r="CX45" s="85"/>
      <c r="CY45" s="85"/>
      <c r="CZ45" s="85"/>
      <c r="DA45" s="85"/>
      <c r="DB45" s="85"/>
      <c r="DC45" s="85"/>
      <c r="DD45" s="85"/>
      <c r="DE45" s="85"/>
      <c r="DF45" s="85"/>
      <c r="DG45" s="85"/>
      <c r="DH45" s="85"/>
      <c r="DI45" s="85"/>
      <c r="DJ45" s="85"/>
      <c r="DK45" s="85"/>
      <c r="DL45" s="85"/>
      <c r="DM45" s="85"/>
      <c r="DN45" s="85"/>
      <c r="DO45" s="85"/>
      <c r="DP45" s="85"/>
      <c r="DQ45" s="85"/>
      <c r="DR45" s="85"/>
      <c r="DS45" s="85"/>
      <c r="DT45" s="85"/>
      <c r="DU45" s="85"/>
      <c r="DV45" s="85"/>
      <c r="DW45" s="85"/>
      <c r="DX45" s="85"/>
      <c r="DY45" s="85"/>
      <c r="DZ45" s="85"/>
      <c r="EA45" s="85"/>
      <c r="EB45" s="85"/>
      <c r="EC45" s="85"/>
      <c r="ED45" s="85"/>
      <c r="EE45" s="85"/>
      <c r="EF45" s="85"/>
      <c r="EG45" s="85"/>
      <c r="EH45" s="85"/>
      <c r="EI45" s="85"/>
      <c r="EJ45" s="85"/>
      <c r="EK45" s="85"/>
      <c r="EL45" s="85"/>
      <c r="EM45" s="85"/>
      <c r="EN45" s="85"/>
      <c r="EO45" s="85"/>
      <c r="EP45" s="85"/>
      <c r="EQ45" s="85"/>
      <c r="ER45" s="85"/>
      <c r="ES45" s="85"/>
      <c r="ET45" s="85"/>
      <c r="EU45" s="85"/>
      <c r="EV45" s="85"/>
      <c r="EW45" s="85"/>
      <c r="EX45" s="85"/>
      <c r="EY45" s="85"/>
      <c r="EZ45" s="85"/>
      <c r="FA45" s="85"/>
      <c r="FB45" s="85"/>
      <c r="FC45" s="85"/>
      <c r="FD45" s="85"/>
      <c r="FE45" s="85"/>
      <c r="FF45" s="85"/>
      <c r="FG45" s="85"/>
      <c r="FH45" s="85"/>
      <c r="FI45" s="85"/>
      <c r="FJ45" s="85"/>
      <c r="FK45" s="85"/>
      <c r="FL45" s="85"/>
      <c r="FM45" s="85"/>
      <c r="FN45" s="85"/>
      <c r="FO45" s="85"/>
      <c r="FP45" s="85"/>
      <c r="FQ45" s="85"/>
      <c r="FR45" s="85"/>
      <c r="FS45" s="85"/>
      <c r="FT45" s="85"/>
      <c r="FU45" s="85"/>
      <c r="FV45" s="85"/>
      <c r="FW45" s="85"/>
      <c r="FX45" s="85"/>
      <c r="FY45" s="85"/>
      <c r="FZ45" s="85"/>
      <c r="GA45" s="85"/>
      <c r="GB45" s="85"/>
      <c r="GC45" s="85"/>
    </row>
    <row r="46" spans="1:185" x14ac:dyDescent="0.3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  <c r="DF46" s="85"/>
      <c r="DG46" s="85"/>
      <c r="DH46" s="85"/>
      <c r="DI46" s="85"/>
      <c r="DJ46" s="85"/>
      <c r="DK46" s="85"/>
      <c r="DL46" s="85"/>
      <c r="DM46" s="85"/>
      <c r="DN46" s="85"/>
      <c r="DO46" s="85"/>
      <c r="DP46" s="85"/>
      <c r="DQ46" s="85"/>
      <c r="DR46" s="85"/>
      <c r="DS46" s="85"/>
      <c r="DT46" s="85"/>
      <c r="DU46" s="85"/>
      <c r="DV46" s="85"/>
      <c r="DW46" s="85"/>
      <c r="DX46" s="85"/>
      <c r="DY46" s="85"/>
      <c r="DZ46" s="85"/>
      <c r="EA46" s="85"/>
      <c r="EB46" s="85"/>
      <c r="EC46" s="85"/>
      <c r="ED46" s="85"/>
      <c r="EE46" s="85"/>
      <c r="EF46" s="85"/>
      <c r="EG46" s="85"/>
      <c r="EH46" s="85"/>
      <c r="EI46" s="85"/>
      <c r="EJ46" s="85"/>
      <c r="EK46" s="85"/>
      <c r="EL46" s="85"/>
      <c r="EM46" s="85"/>
      <c r="EN46" s="85"/>
      <c r="EO46" s="85"/>
      <c r="EP46" s="85"/>
      <c r="EQ46" s="85"/>
      <c r="ER46" s="85"/>
      <c r="ES46" s="85"/>
      <c r="ET46" s="85"/>
      <c r="EU46" s="85"/>
      <c r="EV46" s="85"/>
      <c r="EW46" s="85"/>
      <c r="EX46" s="85"/>
      <c r="EY46" s="85"/>
      <c r="EZ46" s="85"/>
      <c r="FA46" s="85"/>
      <c r="FB46" s="85"/>
      <c r="FC46" s="85"/>
      <c r="FD46" s="85"/>
      <c r="FE46" s="85"/>
      <c r="FF46" s="85"/>
      <c r="FG46" s="85"/>
      <c r="FH46" s="85"/>
      <c r="FI46" s="85"/>
      <c r="FJ46" s="85"/>
      <c r="FK46" s="85"/>
      <c r="FL46" s="85"/>
      <c r="FM46" s="85"/>
      <c r="FN46" s="85"/>
      <c r="FO46" s="85"/>
      <c r="FP46" s="85"/>
      <c r="FQ46" s="85"/>
      <c r="FR46" s="85"/>
      <c r="FS46" s="85"/>
      <c r="FT46" s="85"/>
      <c r="FU46" s="85"/>
      <c r="FV46" s="85"/>
      <c r="FW46" s="85"/>
      <c r="FX46" s="85"/>
      <c r="FY46" s="85"/>
      <c r="FZ46" s="85"/>
      <c r="GA46" s="85"/>
      <c r="GB46" s="85"/>
      <c r="GC46" s="85"/>
    </row>
    <row r="47" spans="1:185" x14ac:dyDescent="0.35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85"/>
      <c r="AN47" s="85"/>
      <c r="AO47" s="85"/>
      <c r="AP47" s="85"/>
      <c r="AQ47" s="85"/>
      <c r="AR47" s="85"/>
      <c r="AS47" s="85"/>
      <c r="AT47" s="85"/>
      <c r="AU47" s="85"/>
      <c r="AV47" s="85"/>
      <c r="AW47" s="85"/>
      <c r="AX47" s="85"/>
      <c r="AY47" s="85"/>
      <c r="AZ47" s="85"/>
      <c r="BA47" s="85"/>
      <c r="BB47" s="85"/>
      <c r="BC47" s="85"/>
      <c r="BD47" s="85"/>
      <c r="BE47" s="85"/>
      <c r="BF47" s="85"/>
      <c r="BG47" s="85"/>
      <c r="BH47" s="85"/>
      <c r="BI47" s="85"/>
      <c r="BJ47" s="85"/>
      <c r="BK47" s="85"/>
      <c r="BL47" s="85"/>
      <c r="BM47" s="85"/>
      <c r="BN47" s="85"/>
      <c r="BO47" s="85"/>
      <c r="BP47" s="85"/>
      <c r="BQ47" s="85"/>
      <c r="BR47" s="85"/>
      <c r="BS47" s="85"/>
      <c r="BT47" s="85"/>
      <c r="BU47" s="85"/>
      <c r="BV47" s="85"/>
      <c r="BW47" s="85"/>
      <c r="BX47" s="85"/>
      <c r="BY47" s="85"/>
      <c r="BZ47" s="85"/>
      <c r="CA47" s="85"/>
      <c r="CB47" s="85"/>
      <c r="CC47" s="85"/>
      <c r="CD47" s="85"/>
      <c r="CE47" s="85"/>
      <c r="CF47" s="85"/>
      <c r="CG47" s="85"/>
      <c r="CH47" s="85"/>
      <c r="CI47" s="85"/>
      <c r="CJ47" s="85"/>
      <c r="CK47" s="85"/>
      <c r="CL47" s="85"/>
      <c r="CM47" s="85"/>
      <c r="CN47" s="85"/>
      <c r="CO47" s="85"/>
      <c r="CP47" s="85"/>
      <c r="CQ47" s="85"/>
      <c r="CR47" s="85"/>
      <c r="CS47" s="85"/>
      <c r="CT47" s="85"/>
      <c r="CU47" s="85"/>
      <c r="CV47" s="85"/>
      <c r="CW47" s="85"/>
      <c r="CX47" s="85"/>
      <c r="CY47" s="85"/>
      <c r="CZ47" s="85"/>
      <c r="DA47" s="85"/>
      <c r="DB47" s="85"/>
      <c r="DC47" s="85"/>
      <c r="DD47" s="85"/>
      <c r="DE47" s="85"/>
      <c r="DF47" s="85"/>
      <c r="DG47" s="85"/>
      <c r="DH47" s="85"/>
      <c r="DI47" s="85"/>
      <c r="DJ47" s="85"/>
      <c r="DK47" s="85"/>
      <c r="DL47" s="85"/>
      <c r="DM47" s="85"/>
      <c r="DN47" s="85"/>
      <c r="DO47" s="85"/>
      <c r="DP47" s="85"/>
      <c r="DQ47" s="85"/>
      <c r="DR47" s="85"/>
      <c r="DS47" s="85"/>
      <c r="DT47" s="85"/>
      <c r="DU47" s="85"/>
      <c r="DV47" s="85"/>
      <c r="DW47" s="85"/>
      <c r="DX47" s="85"/>
      <c r="DY47" s="85"/>
      <c r="DZ47" s="85"/>
      <c r="EA47" s="85"/>
      <c r="EB47" s="85"/>
      <c r="EC47" s="85"/>
      <c r="ED47" s="85"/>
      <c r="EE47" s="85"/>
      <c r="EF47" s="85"/>
      <c r="EG47" s="85"/>
      <c r="EH47" s="85"/>
      <c r="EI47" s="85"/>
      <c r="EJ47" s="85"/>
      <c r="EK47" s="85"/>
      <c r="EL47" s="85"/>
      <c r="EM47" s="85"/>
      <c r="EN47" s="85"/>
      <c r="EO47" s="85"/>
      <c r="EP47" s="85"/>
      <c r="EQ47" s="85"/>
      <c r="ER47" s="85"/>
      <c r="ES47" s="85"/>
      <c r="ET47" s="85"/>
      <c r="EU47" s="85"/>
      <c r="EV47" s="85"/>
      <c r="EW47" s="85"/>
      <c r="EX47" s="85"/>
      <c r="EY47" s="85"/>
      <c r="EZ47" s="85"/>
      <c r="FA47" s="85"/>
      <c r="FB47" s="85"/>
      <c r="FC47" s="85"/>
      <c r="FD47" s="85"/>
      <c r="FE47" s="85"/>
      <c r="FF47" s="85"/>
      <c r="FG47" s="85"/>
      <c r="FH47" s="85"/>
      <c r="FI47" s="85"/>
      <c r="FJ47" s="85"/>
      <c r="FK47" s="85"/>
      <c r="FL47" s="85"/>
      <c r="FM47" s="85"/>
      <c r="FN47" s="85"/>
      <c r="FO47" s="85"/>
      <c r="FP47" s="85"/>
      <c r="FQ47" s="85"/>
      <c r="FR47" s="85"/>
      <c r="FS47" s="85"/>
      <c r="FT47" s="85"/>
      <c r="FU47" s="85"/>
      <c r="FV47" s="85"/>
      <c r="FW47" s="85"/>
      <c r="FX47" s="85"/>
      <c r="FY47" s="85"/>
      <c r="FZ47" s="85"/>
      <c r="GA47" s="85"/>
      <c r="GB47" s="85"/>
      <c r="GC47" s="85"/>
    </row>
    <row r="48" spans="1:185" x14ac:dyDescent="0.35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/>
      <c r="BE48" s="85"/>
      <c r="BF48" s="85"/>
      <c r="BG48" s="85"/>
      <c r="BH48" s="85"/>
      <c r="BI48" s="85"/>
      <c r="BJ48" s="85"/>
      <c r="BK48" s="85"/>
      <c r="BL48" s="85"/>
      <c r="BM48" s="85"/>
      <c r="BN48" s="85"/>
      <c r="BO48" s="85"/>
      <c r="BP48" s="85"/>
      <c r="BQ48" s="85"/>
      <c r="BR48" s="85"/>
      <c r="BS48" s="85"/>
      <c r="BT48" s="85"/>
      <c r="BU48" s="85"/>
      <c r="BV48" s="85"/>
      <c r="BW48" s="85"/>
      <c r="BX48" s="85"/>
      <c r="BY48" s="85"/>
      <c r="BZ48" s="85"/>
      <c r="CA48" s="85"/>
      <c r="CB48" s="85"/>
      <c r="CC48" s="85"/>
      <c r="CD48" s="85"/>
      <c r="CE48" s="85"/>
      <c r="CF48" s="85"/>
      <c r="CG48" s="85"/>
      <c r="CH48" s="85"/>
      <c r="CI48" s="85"/>
      <c r="CJ48" s="85"/>
      <c r="CK48" s="85"/>
      <c r="CL48" s="85"/>
      <c r="CM48" s="85"/>
      <c r="CN48" s="85"/>
      <c r="CO48" s="85"/>
      <c r="CP48" s="85"/>
      <c r="CQ48" s="85"/>
      <c r="CR48" s="85"/>
      <c r="CS48" s="85"/>
      <c r="CT48" s="85"/>
      <c r="CU48" s="85"/>
      <c r="CV48" s="85"/>
      <c r="CW48" s="85"/>
      <c r="CX48" s="85"/>
      <c r="CY48" s="85"/>
      <c r="CZ48" s="85"/>
      <c r="DA48" s="85"/>
      <c r="DB48" s="85"/>
      <c r="DC48" s="85"/>
      <c r="DD48" s="85"/>
      <c r="DE48" s="85"/>
      <c r="DF48" s="85"/>
      <c r="DG48" s="85"/>
      <c r="DH48" s="85"/>
      <c r="DI48" s="85"/>
      <c r="DJ48" s="85"/>
      <c r="DK48" s="85"/>
      <c r="DL48" s="85"/>
      <c r="DM48" s="85"/>
      <c r="DN48" s="85"/>
      <c r="DO48" s="85"/>
      <c r="DP48" s="85"/>
      <c r="DQ48" s="85"/>
      <c r="DR48" s="85"/>
      <c r="DS48" s="85"/>
      <c r="DT48" s="85"/>
      <c r="DU48" s="85"/>
      <c r="DV48" s="85"/>
      <c r="DW48" s="85"/>
      <c r="DX48" s="85"/>
      <c r="DY48" s="85"/>
      <c r="DZ48" s="85"/>
      <c r="EA48" s="85"/>
      <c r="EB48" s="85"/>
      <c r="EC48" s="85"/>
      <c r="ED48" s="85"/>
      <c r="EE48" s="85"/>
      <c r="EF48" s="85"/>
      <c r="EG48" s="85"/>
      <c r="EH48" s="85"/>
      <c r="EI48" s="85"/>
      <c r="EJ48" s="85"/>
      <c r="EK48" s="85"/>
      <c r="EL48" s="85"/>
      <c r="EM48" s="85"/>
      <c r="EN48" s="85"/>
      <c r="EO48" s="85"/>
      <c r="EP48" s="85"/>
      <c r="EQ48" s="85"/>
      <c r="ER48" s="85"/>
      <c r="ES48" s="85"/>
      <c r="ET48" s="85"/>
      <c r="EU48" s="85"/>
      <c r="EV48" s="85"/>
      <c r="EW48" s="85"/>
      <c r="EX48" s="85"/>
      <c r="EY48" s="85"/>
      <c r="EZ48" s="85"/>
      <c r="FA48" s="85"/>
      <c r="FB48" s="85"/>
      <c r="FC48" s="85"/>
      <c r="FD48" s="85"/>
      <c r="FE48" s="85"/>
      <c r="FF48" s="85"/>
      <c r="FG48" s="85"/>
      <c r="FH48" s="85"/>
      <c r="FI48" s="85"/>
      <c r="FJ48" s="85"/>
      <c r="FK48" s="85"/>
      <c r="FL48" s="85"/>
      <c r="FM48" s="85"/>
      <c r="FN48" s="85"/>
      <c r="FO48" s="85"/>
      <c r="FP48" s="85"/>
      <c r="FQ48" s="85"/>
      <c r="FR48" s="85"/>
      <c r="FS48" s="85"/>
      <c r="FT48" s="85"/>
      <c r="FU48" s="85"/>
      <c r="FV48" s="85"/>
      <c r="FW48" s="85"/>
      <c r="FX48" s="85"/>
      <c r="FY48" s="85"/>
      <c r="FZ48" s="85"/>
      <c r="GA48" s="85"/>
      <c r="GB48" s="85"/>
      <c r="GC48" s="85"/>
    </row>
    <row r="49" spans="1:185" x14ac:dyDescent="0.35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/>
      <c r="BE49" s="85"/>
      <c r="BF49" s="85"/>
      <c r="BG49" s="85"/>
      <c r="BH49" s="85"/>
      <c r="BI49" s="85"/>
      <c r="BJ49" s="85"/>
      <c r="BK49" s="85"/>
      <c r="BL49" s="85"/>
      <c r="BM49" s="85"/>
      <c r="BN49" s="85"/>
      <c r="BO49" s="85"/>
      <c r="BP49" s="85"/>
      <c r="BQ49" s="85"/>
      <c r="BR49" s="85"/>
      <c r="BS49" s="85"/>
      <c r="BT49" s="85"/>
      <c r="BU49" s="85"/>
      <c r="BV49" s="85"/>
      <c r="BW49" s="85"/>
      <c r="BX49" s="85"/>
      <c r="BY49" s="85"/>
      <c r="BZ49" s="85"/>
      <c r="CA49" s="85"/>
      <c r="CB49" s="85"/>
      <c r="CC49" s="85"/>
      <c r="CD49" s="85"/>
      <c r="CE49" s="85"/>
      <c r="CF49" s="85"/>
      <c r="CG49" s="85"/>
      <c r="CH49" s="85"/>
      <c r="CI49" s="85"/>
      <c r="CJ49" s="85"/>
      <c r="CK49" s="85"/>
      <c r="CL49" s="85"/>
      <c r="CM49" s="85"/>
      <c r="CN49" s="85"/>
      <c r="CO49" s="85"/>
      <c r="CP49" s="85"/>
      <c r="CQ49" s="85"/>
      <c r="CR49" s="85"/>
      <c r="CS49" s="85"/>
      <c r="CT49" s="85"/>
      <c r="CU49" s="85"/>
      <c r="CV49" s="85"/>
      <c r="CW49" s="85"/>
      <c r="CX49" s="85"/>
      <c r="CY49" s="85"/>
      <c r="CZ49" s="85"/>
      <c r="DA49" s="85"/>
      <c r="DB49" s="85"/>
      <c r="DC49" s="85"/>
      <c r="DD49" s="85"/>
      <c r="DE49" s="85"/>
      <c r="DF49" s="85"/>
      <c r="DG49" s="85"/>
      <c r="DH49" s="85"/>
      <c r="DI49" s="85"/>
      <c r="DJ49" s="85"/>
      <c r="DK49" s="85"/>
      <c r="DL49" s="85"/>
      <c r="DM49" s="85"/>
      <c r="DN49" s="85"/>
      <c r="DO49" s="85"/>
      <c r="DP49" s="85"/>
      <c r="DQ49" s="85"/>
      <c r="DR49" s="85"/>
      <c r="DS49" s="85"/>
      <c r="DT49" s="85"/>
      <c r="DU49" s="85"/>
      <c r="DV49" s="85"/>
      <c r="DW49" s="85"/>
      <c r="DX49" s="85"/>
      <c r="DY49" s="85"/>
      <c r="DZ49" s="85"/>
      <c r="EA49" s="85"/>
      <c r="EB49" s="85"/>
      <c r="EC49" s="85"/>
      <c r="ED49" s="85"/>
      <c r="EE49" s="85"/>
      <c r="EF49" s="85"/>
      <c r="EG49" s="85"/>
      <c r="EH49" s="85"/>
      <c r="EI49" s="85"/>
      <c r="EJ49" s="85"/>
      <c r="EK49" s="85"/>
      <c r="EL49" s="85"/>
      <c r="EM49" s="85"/>
      <c r="EN49" s="85"/>
      <c r="EO49" s="85"/>
      <c r="EP49" s="85"/>
      <c r="EQ49" s="85"/>
      <c r="ER49" s="85"/>
      <c r="ES49" s="85"/>
      <c r="ET49" s="85"/>
      <c r="EU49" s="85"/>
      <c r="EV49" s="85"/>
      <c r="EW49" s="85"/>
      <c r="EX49" s="85"/>
      <c r="EY49" s="85"/>
      <c r="EZ49" s="85"/>
      <c r="FA49" s="85"/>
      <c r="FB49" s="85"/>
      <c r="FC49" s="85"/>
      <c r="FD49" s="85"/>
      <c r="FE49" s="85"/>
      <c r="FF49" s="85"/>
      <c r="FG49" s="85"/>
      <c r="FH49" s="85"/>
      <c r="FI49" s="85"/>
      <c r="FJ49" s="85"/>
      <c r="FK49" s="85"/>
      <c r="FL49" s="85"/>
      <c r="FM49" s="85"/>
      <c r="FN49" s="85"/>
      <c r="FO49" s="85"/>
      <c r="FP49" s="85"/>
      <c r="FQ49" s="85"/>
      <c r="FR49" s="85"/>
      <c r="FS49" s="85"/>
      <c r="FT49" s="85"/>
      <c r="FU49" s="85"/>
      <c r="FV49" s="85"/>
      <c r="FW49" s="85"/>
      <c r="FX49" s="85"/>
      <c r="FY49" s="85"/>
      <c r="FZ49" s="85"/>
      <c r="GA49" s="85"/>
      <c r="GB49" s="85"/>
      <c r="GC49" s="85"/>
    </row>
    <row r="50" spans="1:185" x14ac:dyDescent="0.35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/>
      <c r="BE50" s="85"/>
      <c r="BF50" s="85"/>
      <c r="BG50" s="85"/>
      <c r="BH50" s="85"/>
      <c r="BI50" s="85"/>
      <c r="BJ50" s="85"/>
      <c r="BK50" s="85"/>
      <c r="BL50" s="85"/>
      <c r="BM50" s="85"/>
      <c r="BN50" s="85"/>
      <c r="BO50" s="85"/>
      <c r="BP50" s="85"/>
      <c r="BQ50" s="85"/>
      <c r="BR50" s="85"/>
      <c r="BS50" s="85"/>
      <c r="BT50" s="85"/>
      <c r="BU50" s="85"/>
      <c r="BV50" s="85"/>
      <c r="BW50" s="85"/>
      <c r="BX50" s="85"/>
      <c r="BY50" s="85"/>
      <c r="BZ50" s="85"/>
      <c r="CA50" s="85"/>
      <c r="CB50" s="85"/>
      <c r="CC50" s="85"/>
      <c r="CD50" s="85"/>
      <c r="CE50" s="85"/>
      <c r="CF50" s="85"/>
      <c r="CG50" s="85"/>
      <c r="CH50" s="85"/>
      <c r="CI50" s="85"/>
      <c r="CJ50" s="85"/>
      <c r="CK50" s="85"/>
      <c r="CL50" s="85"/>
      <c r="CM50" s="85"/>
      <c r="CN50" s="85"/>
      <c r="CO50" s="85"/>
      <c r="CP50" s="85"/>
      <c r="CQ50" s="85"/>
      <c r="CR50" s="85"/>
      <c r="CS50" s="85"/>
      <c r="CT50" s="85"/>
      <c r="CU50" s="85"/>
      <c r="CV50" s="85"/>
      <c r="CW50" s="85"/>
      <c r="CX50" s="85"/>
      <c r="CY50" s="85"/>
      <c r="CZ50" s="85"/>
      <c r="DA50" s="85"/>
      <c r="DB50" s="85"/>
      <c r="DC50" s="85"/>
      <c r="DD50" s="85"/>
      <c r="DE50" s="85"/>
      <c r="DF50" s="85"/>
      <c r="DG50" s="85"/>
      <c r="DH50" s="85"/>
      <c r="DI50" s="85"/>
      <c r="DJ50" s="85"/>
      <c r="DK50" s="85"/>
      <c r="DL50" s="85"/>
      <c r="DM50" s="85"/>
      <c r="DN50" s="85"/>
      <c r="DO50" s="85"/>
      <c r="DP50" s="85"/>
      <c r="DQ50" s="85"/>
      <c r="DR50" s="85"/>
      <c r="DS50" s="85"/>
      <c r="DT50" s="85"/>
      <c r="DU50" s="85"/>
      <c r="DV50" s="85"/>
      <c r="DW50" s="85"/>
      <c r="DX50" s="85"/>
      <c r="DY50" s="85"/>
      <c r="DZ50" s="85"/>
      <c r="EA50" s="85"/>
      <c r="EB50" s="85"/>
      <c r="EC50" s="85"/>
      <c r="ED50" s="85"/>
      <c r="EE50" s="85"/>
      <c r="EF50" s="85"/>
      <c r="EG50" s="85"/>
      <c r="EH50" s="85"/>
      <c r="EI50" s="85"/>
      <c r="EJ50" s="85"/>
      <c r="EK50" s="85"/>
      <c r="EL50" s="85"/>
      <c r="EM50" s="85"/>
      <c r="EN50" s="85"/>
      <c r="EO50" s="85"/>
      <c r="EP50" s="85"/>
      <c r="EQ50" s="85"/>
      <c r="ER50" s="85"/>
      <c r="ES50" s="85"/>
      <c r="ET50" s="85"/>
      <c r="EU50" s="85"/>
      <c r="EV50" s="85"/>
      <c r="EW50" s="85"/>
      <c r="EX50" s="85"/>
      <c r="EY50" s="85"/>
      <c r="EZ50" s="85"/>
      <c r="FA50" s="85"/>
      <c r="FB50" s="85"/>
      <c r="FC50" s="85"/>
      <c r="FD50" s="85"/>
      <c r="FE50" s="85"/>
      <c r="FF50" s="85"/>
      <c r="FG50" s="85"/>
      <c r="FH50" s="85"/>
      <c r="FI50" s="85"/>
      <c r="FJ50" s="85"/>
      <c r="FK50" s="85"/>
      <c r="FL50" s="85"/>
      <c r="FM50" s="85"/>
      <c r="FN50" s="85"/>
      <c r="FO50" s="85"/>
      <c r="FP50" s="85"/>
      <c r="FQ50" s="85"/>
      <c r="FR50" s="85"/>
      <c r="FS50" s="85"/>
      <c r="FT50" s="85"/>
      <c r="FU50" s="85"/>
      <c r="FV50" s="85"/>
      <c r="FW50" s="85"/>
      <c r="FX50" s="85"/>
      <c r="FY50" s="85"/>
      <c r="FZ50" s="85"/>
      <c r="GA50" s="85"/>
      <c r="GB50" s="85"/>
      <c r="GC50" s="85"/>
    </row>
    <row r="51" spans="1:185" x14ac:dyDescent="0.35">
      <c r="A51" s="85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/>
      <c r="BE51" s="85"/>
      <c r="BF51" s="85"/>
      <c r="BG51" s="85"/>
      <c r="BH51" s="85"/>
      <c r="BI51" s="85"/>
      <c r="BJ51" s="85"/>
      <c r="BK51" s="85"/>
      <c r="BL51" s="85"/>
      <c r="BM51" s="85"/>
      <c r="BN51" s="85"/>
      <c r="BO51" s="85"/>
      <c r="BP51" s="85"/>
      <c r="BQ51" s="85"/>
      <c r="BR51" s="85"/>
      <c r="BS51" s="85"/>
      <c r="BT51" s="85"/>
      <c r="BU51" s="85"/>
      <c r="BV51" s="85"/>
      <c r="BW51" s="85"/>
      <c r="BX51" s="85"/>
      <c r="BY51" s="85"/>
      <c r="BZ51" s="85"/>
      <c r="CA51" s="85"/>
      <c r="CB51" s="85"/>
      <c r="CC51" s="85"/>
      <c r="CD51" s="85"/>
      <c r="CE51" s="85"/>
      <c r="CF51" s="85"/>
      <c r="CG51" s="85"/>
      <c r="CH51" s="85"/>
      <c r="CI51" s="85"/>
      <c r="CJ51" s="85"/>
      <c r="CK51" s="85"/>
      <c r="CL51" s="85"/>
      <c r="CM51" s="85"/>
      <c r="CN51" s="85"/>
      <c r="CO51" s="85"/>
      <c r="CP51" s="85"/>
      <c r="CQ51" s="85"/>
      <c r="CR51" s="85"/>
      <c r="CS51" s="85"/>
      <c r="CT51" s="85"/>
      <c r="CU51" s="85"/>
      <c r="CV51" s="85"/>
      <c r="CW51" s="85"/>
      <c r="CX51" s="85"/>
      <c r="CY51" s="85"/>
      <c r="CZ51" s="85"/>
      <c r="DA51" s="85"/>
      <c r="DB51" s="85"/>
      <c r="DC51" s="85"/>
      <c r="DD51" s="85"/>
      <c r="DE51" s="85"/>
      <c r="DF51" s="85"/>
      <c r="DG51" s="85"/>
      <c r="DH51" s="85"/>
      <c r="DI51" s="85"/>
      <c r="DJ51" s="85"/>
      <c r="DK51" s="85"/>
      <c r="DL51" s="85"/>
      <c r="DM51" s="85"/>
      <c r="DN51" s="85"/>
      <c r="DO51" s="85"/>
      <c r="DP51" s="85"/>
      <c r="DQ51" s="85"/>
      <c r="DR51" s="85"/>
      <c r="DS51" s="85"/>
      <c r="DT51" s="85"/>
      <c r="DU51" s="85"/>
      <c r="DV51" s="85"/>
      <c r="DW51" s="85"/>
      <c r="DX51" s="85"/>
      <c r="DY51" s="85"/>
      <c r="DZ51" s="85"/>
      <c r="EA51" s="85"/>
      <c r="EB51" s="85"/>
      <c r="EC51" s="85"/>
      <c r="ED51" s="85"/>
      <c r="EE51" s="85"/>
      <c r="EF51" s="85"/>
      <c r="EG51" s="85"/>
      <c r="EH51" s="85"/>
      <c r="EI51" s="85"/>
      <c r="EJ51" s="85"/>
      <c r="EK51" s="85"/>
      <c r="EL51" s="85"/>
      <c r="EM51" s="85"/>
      <c r="EN51" s="85"/>
      <c r="EO51" s="85"/>
      <c r="EP51" s="85"/>
      <c r="EQ51" s="85"/>
      <c r="ER51" s="85"/>
      <c r="ES51" s="85"/>
      <c r="ET51" s="85"/>
      <c r="EU51" s="85"/>
      <c r="EV51" s="85"/>
      <c r="EW51" s="85"/>
      <c r="EX51" s="85"/>
      <c r="EY51" s="85"/>
      <c r="EZ51" s="85"/>
      <c r="FA51" s="85"/>
      <c r="FB51" s="85"/>
      <c r="FC51" s="85"/>
      <c r="FD51" s="85"/>
      <c r="FE51" s="85"/>
      <c r="FF51" s="85"/>
      <c r="FG51" s="85"/>
      <c r="FH51" s="85"/>
      <c r="FI51" s="85"/>
      <c r="FJ51" s="85"/>
      <c r="FK51" s="85"/>
      <c r="FL51" s="85"/>
      <c r="FM51" s="85"/>
      <c r="FN51" s="85"/>
      <c r="FO51" s="85"/>
      <c r="FP51" s="85"/>
      <c r="FQ51" s="85"/>
      <c r="FR51" s="85"/>
      <c r="FS51" s="85"/>
      <c r="FT51" s="85"/>
      <c r="FU51" s="85"/>
      <c r="FV51" s="85"/>
      <c r="FW51" s="85"/>
      <c r="FX51" s="85"/>
      <c r="FY51" s="85"/>
      <c r="FZ51" s="85"/>
      <c r="GA51" s="85"/>
      <c r="GB51" s="85"/>
      <c r="GC51" s="85"/>
    </row>
    <row r="52" spans="1:185" x14ac:dyDescent="0.35">
      <c r="A52" s="85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  <c r="AU52" s="85"/>
      <c r="AV52" s="85"/>
      <c r="AW52" s="85"/>
      <c r="AX52" s="85"/>
      <c r="AY52" s="85"/>
      <c r="AZ52" s="85"/>
      <c r="BA52" s="85"/>
      <c r="BB52" s="85"/>
      <c r="BC52" s="85"/>
      <c r="BD52" s="85"/>
      <c r="BE52" s="85"/>
      <c r="BF52" s="85"/>
      <c r="BG52" s="85"/>
      <c r="BH52" s="85"/>
      <c r="BI52" s="85"/>
      <c r="BJ52" s="85"/>
      <c r="BK52" s="85"/>
      <c r="BL52" s="85"/>
      <c r="BM52" s="85"/>
      <c r="BN52" s="85"/>
      <c r="BO52" s="85"/>
      <c r="BP52" s="85"/>
      <c r="BQ52" s="85"/>
      <c r="BR52" s="85"/>
      <c r="BS52" s="85"/>
      <c r="BT52" s="85"/>
      <c r="BU52" s="85"/>
      <c r="BV52" s="85"/>
      <c r="BW52" s="85"/>
      <c r="BX52" s="85"/>
      <c r="BY52" s="85"/>
      <c r="BZ52" s="85"/>
      <c r="CA52" s="85"/>
      <c r="CB52" s="85"/>
      <c r="CC52" s="85"/>
      <c r="CD52" s="85"/>
      <c r="CE52" s="85"/>
      <c r="CF52" s="85"/>
      <c r="CG52" s="85"/>
      <c r="CH52" s="85"/>
      <c r="CI52" s="85"/>
      <c r="CJ52" s="85"/>
      <c r="CK52" s="85"/>
      <c r="CL52" s="85"/>
      <c r="CM52" s="85"/>
      <c r="CN52" s="85"/>
      <c r="CO52" s="85"/>
      <c r="CP52" s="85"/>
      <c r="CQ52" s="85"/>
      <c r="CR52" s="85"/>
      <c r="CS52" s="85"/>
      <c r="CT52" s="85"/>
      <c r="CU52" s="85"/>
      <c r="CV52" s="85"/>
      <c r="CW52" s="85"/>
      <c r="CX52" s="85"/>
      <c r="CY52" s="85"/>
      <c r="CZ52" s="85"/>
      <c r="DA52" s="85"/>
      <c r="DB52" s="85"/>
      <c r="DC52" s="85"/>
      <c r="DD52" s="85"/>
      <c r="DE52" s="85"/>
      <c r="DF52" s="85"/>
      <c r="DG52" s="85"/>
      <c r="DH52" s="85"/>
      <c r="DI52" s="85"/>
      <c r="DJ52" s="85"/>
      <c r="DK52" s="85"/>
      <c r="DL52" s="85"/>
      <c r="DM52" s="85"/>
      <c r="DN52" s="85"/>
      <c r="DO52" s="85"/>
      <c r="DP52" s="85"/>
      <c r="DQ52" s="85"/>
      <c r="DR52" s="85"/>
      <c r="DS52" s="85"/>
      <c r="DT52" s="85"/>
      <c r="DU52" s="85"/>
      <c r="DV52" s="85"/>
      <c r="DW52" s="85"/>
      <c r="DX52" s="85"/>
      <c r="DY52" s="85"/>
      <c r="DZ52" s="85"/>
      <c r="EA52" s="85"/>
      <c r="EB52" s="85"/>
      <c r="EC52" s="85"/>
      <c r="ED52" s="85"/>
      <c r="EE52" s="85"/>
      <c r="EF52" s="85"/>
      <c r="EG52" s="85"/>
      <c r="EH52" s="85"/>
      <c r="EI52" s="85"/>
      <c r="EJ52" s="85"/>
      <c r="EK52" s="85"/>
      <c r="EL52" s="85"/>
      <c r="EM52" s="85"/>
      <c r="EN52" s="85"/>
      <c r="EO52" s="85"/>
      <c r="EP52" s="85"/>
      <c r="EQ52" s="85"/>
      <c r="ER52" s="85"/>
      <c r="ES52" s="85"/>
      <c r="ET52" s="85"/>
      <c r="EU52" s="85"/>
      <c r="EV52" s="85"/>
      <c r="EW52" s="85"/>
      <c r="EX52" s="85"/>
      <c r="EY52" s="85"/>
      <c r="EZ52" s="85"/>
      <c r="FA52" s="85"/>
      <c r="FB52" s="85"/>
      <c r="FC52" s="85"/>
      <c r="FD52" s="85"/>
      <c r="FE52" s="85"/>
      <c r="FF52" s="85"/>
      <c r="FG52" s="85"/>
      <c r="FH52" s="85"/>
      <c r="FI52" s="85"/>
      <c r="FJ52" s="85"/>
      <c r="FK52" s="85"/>
      <c r="FL52" s="85"/>
      <c r="FM52" s="85"/>
      <c r="FN52" s="85"/>
      <c r="FO52" s="85"/>
      <c r="FP52" s="85"/>
      <c r="FQ52" s="85"/>
      <c r="FR52" s="85"/>
      <c r="FS52" s="85"/>
      <c r="FT52" s="85"/>
      <c r="FU52" s="85"/>
      <c r="FV52" s="85"/>
      <c r="FW52" s="85"/>
      <c r="FX52" s="85"/>
      <c r="FY52" s="85"/>
      <c r="FZ52" s="85"/>
      <c r="GA52" s="85"/>
      <c r="GB52" s="85"/>
      <c r="GC52" s="85"/>
    </row>
    <row r="53" spans="1:185" x14ac:dyDescent="0.35">
      <c r="A53" s="85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  <c r="AT53" s="85"/>
      <c r="AU53" s="85"/>
      <c r="AV53" s="85"/>
      <c r="AW53" s="85"/>
      <c r="AX53" s="85"/>
      <c r="AY53" s="85"/>
      <c r="AZ53" s="85"/>
      <c r="BA53" s="85"/>
      <c r="BB53" s="85"/>
      <c r="BC53" s="85"/>
      <c r="BD53" s="85"/>
      <c r="BE53" s="85"/>
      <c r="BF53" s="85"/>
      <c r="BG53" s="85"/>
      <c r="BH53" s="85"/>
      <c r="BI53" s="85"/>
      <c r="BJ53" s="85"/>
      <c r="BK53" s="85"/>
      <c r="BL53" s="85"/>
      <c r="BM53" s="85"/>
      <c r="BN53" s="85"/>
      <c r="BO53" s="85"/>
      <c r="BP53" s="85"/>
      <c r="BQ53" s="85"/>
      <c r="BR53" s="85"/>
      <c r="BS53" s="85"/>
      <c r="BT53" s="85"/>
      <c r="BU53" s="85"/>
      <c r="BV53" s="85"/>
      <c r="BW53" s="85"/>
      <c r="BX53" s="85"/>
      <c r="BY53" s="85"/>
      <c r="BZ53" s="85"/>
      <c r="CA53" s="85"/>
      <c r="CB53" s="85"/>
      <c r="CC53" s="85"/>
      <c r="CD53" s="85"/>
      <c r="CE53" s="85"/>
      <c r="CF53" s="85"/>
      <c r="CG53" s="85"/>
      <c r="CH53" s="85"/>
      <c r="CI53" s="85"/>
      <c r="CJ53" s="85"/>
      <c r="CK53" s="85"/>
      <c r="CL53" s="85"/>
      <c r="CM53" s="85"/>
      <c r="CN53" s="85"/>
      <c r="CO53" s="85"/>
      <c r="CP53" s="85"/>
      <c r="CQ53" s="85"/>
      <c r="CR53" s="85"/>
      <c r="CS53" s="85"/>
      <c r="CT53" s="85"/>
      <c r="CU53" s="85"/>
      <c r="CV53" s="85"/>
      <c r="CW53" s="85"/>
      <c r="CX53" s="85"/>
      <c r="CY53" s="85"/>
      <c r="CZ53" s="85"/>
      <c r="DA53" s="85"/>
      <c r="DB53" s="85"/>
      <c r="DC53" s="85"/>
      <c r="DD53" s="85"/>
      <c r="DE53" s="85"/>
      <c r="DF53" s="85"/>
      <c r="DG53" s="85"/>
      <c r="DH53" s="85"/>
      <c r="DI53" s="85"/>
      <c r="DJ53" s="85"/>
      <c r="DK53" s="85"/>
      <c r="DL53" s="85"/>
      <c r="DM53" s="85"/>
      <c r="DN53" s="85"/>
      <c r="DO53" s="85"/>
      <c r="DP53" s="85"/>
      <c r="DQ53" s="85"/>
      <c r="DR53" s="85"/>
      <c r="DS53" s="85"/>
      <c r="DT53" s="85"/>
      <c r="DU53" s="85"/>
      <c r="DV53" s="85"/>
      <c r="DW53" s="85"/>
      <c r="DX53" s="85"/>
      <c r="DY53" s="85"/>
      <c r="DZ53" s="85"/>
      <c r="EA53" s="85"/>
      <c r="EB53" s="85"/>
      <c r="EC53" s="85"/>
      <c r="ED53" s="85"/>
      <c r="EE53" s="85"/>
      <c r="EF53" s="85"/>
      <c r="EG53" s="85"/>
      <c r="EH53" s="85"/>
      <c r="EI53" s="85"/>
      <c r="EJ53" s="85"/>
      <c r="EK53" s="85"/>
      <c r="EL53" s="85"/>
      <c r="EM53" s="85"/>
      <c r="EN53" s="85"/>
      <c r="EO53" s="85"/>
      <c r="EP53" s="85"/>
      <c r="EQ53" s="85"/>
      <c r="ER53" s="85"/>
      <c r="ES53" s="85"/>
      <c r="ET53" s="85"/>
      <c r="EU53" s="85"/>
      <c r="EV53" s="85"/>
      <c r="EW53" s="85"/>
      <c r="EX53" s="85"/>
      <c r="EY53" s="85"/>
      <c r="EZ53" s="85"/>
      <c r="FA53" s="85"/>
      <c r="FB53" s="85"/>
      <c r="FC53" s="85"/>
      <c r="FD53" s="85"/>
      <c r="FE53" s="85"/>
      <c r="FF53" s="85"/>
      <c r="FG53" s="85"/>
      <c r="FH53" s="85"/>
      <c r="FI53" s="85"/>
      <c r="FJ53" s="85"/>
      <c r="FK53" s="85"/>
      <c r="FL53" s="85"/>
      <c r="FM53" s="85"/>
      <c r="FN53" s="85"/>
      <c r="FO53" s="85"/>
      <c r="FP53" s="85"/>
      <c r="FQ53" s="85"/>
      <c r="FR53" s="85"/>
      <c r="FS53" s="85"/>
      <c r="FT53" s="85"/>
      <c r="FU53" s="85"/>
      <c r="FV53" s="85"/>
      <c r="FW53" s="85"/>
      <c r="FX53" s="85"/>
      <c r="FY53" s="85"/>
      <c r="FZ53" s="85"/>
      <c r="GA53" s="85"/>
      <c r="GB53" s="85"/>
      <c r="GC53" s="85"/>
    </row>
    <row r="54" spans="1:185" x14ac:dyDescent="0.3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  <c r="AT54" s="85"/>
      <c r="AU54" s="85"/>
      <c r="AV54" s="85"/>
      <c r="AW54" s="85"/>
      <c r="AX54" s="85"/>
      <c r="AY54" s="85"/>
      <c r="AZ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  <c r="BU54" s="85"/>
      <c r="BV54" s="85"/>
      <c r="BW54" s="85"/>
      <c r="BX54" s="85"/>
      <c r="BY54" s="85"/>
      <c r="BZ54" s="85"/>
      <c r="CA54" s="85"/>
      <c r="CB54" s="85"/>
      <c r="CC54" s="85"/>
      <c r="CD54" s="85"/>
      <c r="CE54" s="85"/>
      <c r="CF54" s="85"/>
      <c r="CG54" s="85"/>
      <c r="CH54" s="85"/>
      <c r="CI54" s="85"/>
      <c r="CJ54" s="85"/>
      <c r="CK54" s="85"/>
      <c r="CL54" s="85"/>
      <c r="CM54" s="85"/>
      <c r="CN54" s="85"/>
      <c r="CO54" s="85"/>
      <c r="CP54" s="85"/>
      <c r="CQ54" s="85"/>
      <c r="CR54" s="85"/>
      <c r="CS54" s="85"/>
      <c r="CT54" s="85"/>
      <c r="CU54" s="85"/>
      <c r="CV54" s="85"/>
      <c r="CW54" s="85"/>
      <c r="CX54" s="85"/>
      <c r="CY54" s="85"/>
      <c r="CZ54" s="85"/>
      <c r="DA54" s="85"/>
      <c r="DB54" s="85"/>
      <c r="DC54" s="85"/>
      <c r="DD54" s="85"/>
      <c r="DE54" s="85"/>
      <c r="DF54" s="85"/>
      <c r="DG54" s="85"/>
      <c r="DH54" s="85"/>
      <c r="DI54" s="85"/>
      <c r="DJ54" s="85"/>
      <c r="DK54" s="85"/>
      <c r="DL54" s="85"/>
      <c r="DM54" s="85"/>
      <c r="DN54" s="85"/>
      <c r="DO54" s="85"/>
      <c r="DP54" s="85"/>
      <c r="DQ54" s="85"/>
      <c r="DR54" s="85"/>
      <c r="DS54" s="85"/>
      <c r="DT54" s="85"/>
      <c r="DU54" s="85"/>
      <c r="DV54" s="85"/>
      <c r="DW54" s="85"/>
      <c r="DX54" s="85"/>
      <c r="DY54" s="85"/>
      <c r="DZ54" s="85"/>
      <c r="EA54" s="85"/>
      <c r="EB54" s="85"/>
      <c r="EC54" s="85"/>
      <c r="ED54" s="85"/>
      <c r="EE54" s="85"/>
      <c r="EF54" s="85"/>
      <c r="EG54" s="85"/>
      <c r="EH54" s="85"/>
      <c r="EI54" s="85"/>
      <c r="EJ54" s="85"/>
      <c r="EK54" s="85"/>
      <c r="EL54" s="85"/>
      <c r="EM54" s="85"/>
      <c r="EN54" s="85"/>
      <c r="EO54" s="85"/>
      <c r="EP54" s="85"/>
      <c r="EQ54" s="85"/>
      <c r="ER54" s="85"/>
      <c r="ES54" s="85"/>
      <c r="ET54" s="85"/>
      <c r="EU54" s="85"/>
      <c r="EV54" s="85"/>
      <c r="EW54" s="85"/>
      <c r="EX54" s="85"/>
      <c r="EY54" s="85"/>
      <c r="EZ54" s="85"/>
      <c r="FA54" s="85"/>
      <c r="FB54" s="85"/>
      <c r="FC54" s="85"/>
      <c r="FD54" s="85"/>
      <c r="FE54" s="85"/>
      <c r="FF54" s="85"/>
      <c r="FG54" s="85"/>
      <c r="FH54" s="85"/>
      <c r="FI54" s="85"/>
      <c r="FJ54" s="85"/>
      <c r="FK54" s="85"/>
      <c r="FL54" s="85"/>
      <c r="FM54" s="85"/>
      <c r="FN54" s="85"/>
      <c r="FO54" s="85"/>
      <c r="FP54" s="85"/>
      <c r="FQ54" s="85"/>
      <c r="FR54" s="85"/>
      <c r="FS54" s="85"/>
      <c r="FT54" s="85"/>
      <c r="FU54" s="85"/>
      <c r="FV54" s="85"/>
      <c r="FW54" s="85"/>
      <c r="FX54" s="85"/>
      <c r="FY54" s="85"/>
      <c r="FZ54" s="85"/>
      <c r="GA54" s="85"/>
      <c r="GB54" s="85"/>
      <c r="GC54" s="85"/>
    </row>
    <row r="55" spans="1:185" x14ac:dyDescent="0.35">
      <c r="A55" s="85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85"/>
      <c r="AN55" s="85"/>
      <c r="AO55" s="85"/>
      <c r="AP55" s="85"/>
      <c r="AQ55" s="85"/>
      <c r="AR55" s="85"/>
      <c r="AS55" s="85"/>
      <c r="AT55" s="85"/>
      <c r="AU55" s="85"/>
      <c r="AV55" s="85"/>
      <c r="AW55" s="85"/>
      <c r="AX55" s="85"/>
      <c r="AY55" s="85"/>
      <c r="AZ55" s="85"/>
      <c r="BA55" s="85"/>
      <c r="BB55" s="85"/>
      <c r="BC55" s="85"/>
      <c r="BD55" s="85"/>
      <c r="BE55" s="85"/>
      <c r="BF55" s="85"/>
      <c r="BG55" s="85"/>
      <c r="BH55" s="85"/>
      <c r="BI55" s="85"/>
      <c r="BJ55" s="85"/>
      <c r="BK55" s="85"/>
      <c r="BL55" s="85"/>
      <c r="BM55" s="85"/>
      <c r="BN55" s="85"/>
      <c r="BO55" s="85"/>
      <c r="BP55" s="85"/>
      <c r="BQ55" s="85"/>
      <c r="BR55" s="85"/>
      <c r="BS55" s="85"/>
      <c r="BT55" s="85"/>
      <c r="BU55" s="85"/>
      <c r="BV55" s="85"/>
      <c r="BW55" s="85"/>
      <c r="BX55" s="85"/>
      <c r="BY55" s="85"/>
      <c r="BZ55" s="85"/>
      <c r="CA55" s="85"/>
      <c r="CB55" s="85"/>
      <c r="CC55" s="85"/>
      <c r="CD55" s="85"/>
      <c r="CE55" s="85"/>
      <c r="CF55" s="85"/>
      <c r="CG55" s="85"/>
      <c r="CH55" s="85"/>
      <c r="CI55" s="85"/>
      <c r="CJ55" s="85"/>
      <c r="CK55" s="85"/>
      <c r="CL55" s="85"/>
      <c r="CM55" s="85"/>
      <c r="CN55" s="85"/>
      <c r="CO55" s="85"/>
      <c r="CP55" s="85"/>
      <c r="CQ55" s="85"/>
      <c r="CR55" s="85"/>
      <c r="CS55" s="85"/>
      <c r="CT55" s="85"/>
      <c r="CU55" s="85"/>
      <c r="CV55" s="85"/>
      <c r="CW55" s="85"/>
      <c r="CX55" s="85"/>
      <c r="CY55" s="85"/>
      <c r="CZ55" s="85"/>
      <c r="DA55" s="85"/>
      <c r="DB55" s="85"/>
      <c r="DC55" s="85"/>
      <c r="DD55" s="85"/>
      <c r="DE55" s="85"/>
      <c r="DF55" s="85"/>
      <c r="DG55" s="85"/>
      <c r="DH55" s="85"/>
      <c r="DI55" s="85"/>
      <c r="DJ55" s="85"/>
      <c r="DK55" s="85"/>
      <c r="DL55" s="85"/>
      <c r="DM55" s="85"/>
      <c r="DN55" s="85"/>
      <c r="DO55" s="85"/>
      <c r="DP55" s="85"/>
      <c r="DQ55" s="85"/>
      <c r="DR55" s="85"/>
      <c r="DS55" s="85"/>
      <c r="DT55" s="85"/>
      <c r="DU55" s="85"/>
      <c r="DV55" s="85"/>
      <c r="DW55" s="85"/>
      <c r="DX55" s="85"/>
      <c r="DY55" s="85"/>
      <c r="DZ55" s="85"/>
      <c r="EA55" s="85"/>
      <c r="EB55" s="85"/>
      <c r="EC55" s="85"/>
      <c r="ED55" s="85"/>
      <c r="EE55" s="85"/>
      <c r="EF55" s="85"/>
      <c r="EG55" s="85"/>
      <c r="EH55" s="85"/>
      <c r="EI55" s="85"/>
      <c r="EJ55" s="85"/>
      <c r="EK55" s="85"/>
      <c r="EL55" s="85"/>
      <c r="EM55" s="85"/>
      <c r="EN55" s="85"/>
      <c r="EO55" s="85"/>
      <c r="EP55" s="85"/>
      <c r="EQ55" s="85"/>
      <c r="ER55" s="85"/>
      <c r="ES55" s="85"/>
      <c r="ET55" s="85"/>
      <c r="EU55" s="85"/>
      <c r="EV55" s="85"/>
      <c r="EW55" s="85"/>
      <c r="EX55" s="85"/>
      <c r="EY55" s="85"/>
      <c r="EZ55" s="85"/>
      <c r="FA55" s="85"/>
      <c r="FB55" s="85"/>
      <c r="FC55" s="85"/>
      <c r="FD55" s="85"/>
      <c r="FE55" s="85"/>
      <c r="FF55" s="85"/>
      <c r="FG55" s="85"/>
      <c r="FH55" s="85"/>
      <c r="FI55" s="85"/>
      <c r="FJ55" s="85"/>
      <c r="FK55" s="85"/>
      <c r="FL55" s="85"/>
      <c r="FM55" s="85"/>
      <c r="FN55" s="85"/>
      <c r="FO55" s="85"/>
      <c r="FP55" s="85"/>
      <c r="FQ55" s="85"/>
      <c r="FR55" s="85"/>
      <c r="FS55" s="85"/>
      <c r="FT55" s="85"/>
      <c r="FU55" s="85"/>
      <c r="FV55" s="85"/>
      <c r="FW55" s="85"/>
      <c r="FX55" s="85"/>
      <c r="FY55" s="85"/>
      <c r="FZ55" s="85"/>
      <c r="GA55" s="85"/>
      <c r="GB55" s="85"/>
      <c r="GC55" s="85"/>
    </row>
    <row r="56" spans="1:185" x14ac:dyDescent="0.35">
      <c r="A56" s="85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85"/>
      <c r="AN56" s="85"/>
      <c r="AO56" s="85"/>
      <c r="AP56" s="85"/>
      <c r="AQ56" s="85"/>
      <c r="AR56" s="85"/>
      <c r="AS56" s="85"/>
      <c r="AT56" s="85"/>
      <c r="AU56" s="85"/>
      <c r="AV56" s="85"/>
      <c r="AW56" s="85"/>
      <c r="AX56" s="85"/>
      <c r="AY56" s="85"/>
      <c r="AZ56" s="85"/>
      <c r="BA56" s="85"/>
      <c r="BB56" s="85"/>
      <c r="BC56" s="85"/>
      <c r="BD56" s="85"/>
      <c r="BE56" s="85"/>
      <c r="BF56" s="85"/>
      <c r="BG56" s="85"/>
      <c r="BH56" s="85"/>
      <c r="BI56" s="85"/>
      <c r="BJ56" s="85"/>
      <c r="BK56" s="85"/>
      <c r="BL56" s="85"/>
      <c r="BM56" s="85"/>
      <c r="BN56" s="85"/>
      <c r="BO56" s="85"/>
      <c r="BP56" s="85"/>
      <c r="BQ56" s="85"/>
      <c r="BR56" s="85"/>
      <c r="BS56" s="85"/>
      <c r="BT56" s="85"/>
      <c r="BU56" s="85"/>
      <c r="BV56" s="85"/>
      <c r="BW56" s="85"/>
      <c r="BX56" s="85"/>
      <c r="BY56" s="85"/>
      <c r="BZ56" s="85"/>
      <c r="CA56" s="85"/>
      <c r="CB56" s="85"/>
      <c r="CC56" s="85"/>
      <c r="CD56" s="85"/>
      <c r="CE56" s="85"/>
      <c r="CF56" s="85"/>
      <c r="CG56" s="85"/>
      <c r="CH56" s="85"/>
      <c r="CI56" s="85"/>
      <c r="CJ56" s="85"/>
      <c r="CK56" s="85"/>
      <c r="CL56" s="85"/>
      <c r="CM56" s="85"/>
      <c r="CN56" s="85"/>
      <c r="CO56" s="85"/>
      <c r="CP56" s="85"/>
      <c r="CQ56" s="85"/>
      <c r="CR56" s="85"/>
      <c r="CS56" s="85"/>
      <c r="CT56" s="85"/>
      <c r="CU56" s="85"/>
      <c r="CV56" s="85"/>
      <c r="CW56" s="85"/>
      <c r="CX56" s="85"/>
      <c r="CY56" s="85"/>
      <c r="CZ56" s="85"/>
      <c r="DA56" s="85"/>
      <c r="DB56" s="85"/>
      <c r="DC56" s="85"/>
      <c r="DD56" s="85"/>
      <c r="DE56" s="85"/>
      <c r="DF56" s="85"/>
      <c r="DG56" s="85"/>
      <c r="DH56" s="85"/>
      <c r="DI56" s="85"/>
      <c r="DJ56" s="85"/>
      <c r="DK56" s="85"/>
      <c r="DL56" s="85"/>
      <c r="DM56" s="85"/>
      <c r="DN56" s="85"/>
      <c r="DO56" s="85"/>
      <c r="DP56" s="85"/>
      <c r="DQ56" s="85"/>
      <c r="DR56" s="85"/>
      <c r="DS56" s="85"/>
      <c r="DT56" s="85"/>
      <c r="DU56" s="85"/>
      <c r="DV56" s="85"/>
      <c r="DW56" s="85"/>
      <c r="DX56" s="85"/>
      <c r="DY56" s="85"/>
      <c r="DZ56" s="85"/>
      <c r="EA56" s="85"/>
      <c r="EB56" s="85"/>
      <c r="EC56" s="85"/>
      <c r="ED56" s="85"/>
      <c r="EE56" s="85"/>
      <c r="EF56" s="85"/>
      <c r="EG56" s="85"/>
      <c r="EH56" s="85"/>
      <c r="EI56" s="85"/>
      <c r="EJ56" s="85"/>
      <c r="EK56" s="85"/>
      <c r="EL56" s="85"/>
      <c r="EM56" s="85"/>
      <c r="EN56" s="85"/>
      <c r="EO56" s="85"/>
      <c r="EP56" s="85"/>
      <c r="EQ56" s="85"/>
      <c r="ER56" s="85"/>
      <c r="ES56" s="85"/>
      <c r="ET56" s="85"/>
      <c r="EU56" s="85"/>
      <c r="EV56" s="85"/>
      <c r="EW56" s="85"/>
      <c r="EX56" s="85"/>
      <c r="EY56" s="85"/>
      <c r="EZ56" s="85"/>
      <c r="FA56" s="85"/>
      <c r="FB56" s="85"/>
      <c r="FC56" s="85"/>
      <c r="FD56" s="85"/>
      <c r="FE56" s="85"/>
      <c r="FF56" s="85"/>
      <c r="FG56" s="85"/>
      <c r="FH56" s="85"/>
      <c r="FI56" s="85"/>
      <c r="FJ56" s="85"/>
      <c r="FK56" s="85"/>
      <c r="FL56" s="85"/>
      <c r="FM56" s="85"/>
      <c r="FN56" s="85"/>
      <c r="FO56" s="85"/>
      <c r="FP56" s="85"/>
      <c r="FQ56" s="85"/>
      <c r="FR56" s="85"/>
      <c r="FS56" s="85"/>
      <c r="FT56" s="85"/>
      <c r="FU56" s="85"/>
      <c r="FV56" s="85"/>
      <c r="FW56" s="85"/>
      <c r="FX56" s="85"/>
      <c r="FY56" s="85"/>
      <c r="FZ56" s="85"/>
      <c r="GA56" s="85"/>
      <c r="GB56" s="85"/>
      <c r="GC56" s="85"/>
    </row>
    <row r="57" spans="1:185" x14ac:dyDescent="0.35">
      <c r="A57" s="85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5"/>
      <c r="BO57" s="85"/>
      <c r="BP57" s="85"/>
      <c r="BQ57" s="85"/>
      <c r="BR57" s="85"/>
      <c r="BS57" s="85"/>
      <c r="BT57" s="85"/>
      <c r="BU57" s="85"/>
      <c r="BV57" s="85"/>
      <c r="BW57" s="85"/>
      <c r="BX57" s="85"/>
      <c r="BY57" s="85"/>
      <c r="BZ57" s="85"/>
      <c r="CA57" s="85"/>
      <c r="CB57" s="85"/>
      <c r="CC57" s="85"/>
      <c r="CD57" s="85"/>
      <c r="CE57" s="85"/>
      <c r="CF57" s="85"/>
      <c r="CG57" s="85"/>
      <c r="CH57" s="85"/>
      <c r="CI57" s="85"/>
      <c r="CJ57" s="85"/>
      <c r="CK57" s="85"/>
      <c r="CL57" s="85"/>
      <c r="CM57" s="85"/>
      <c r="CN57" s="85"/>
      <c r="CO57" s="85"/>
      <c r="CP57" s="85"/>
      <c r="CQ57" s="85"/>
      <c r="CR57" s="85"/>
      <c r="CS57" s="85"/>
      <c r="CT57" s="85"/>
      <c r="CU57" s="85"/>
      <c r="CV57" s="85"/>
      <c r="CW57" s="85"/>
      <c r="CX57" s="85"/>
      <c r="CY57" s="85"/>
      <c r="CZ57" s="85"/>
      <c r="DA57" s="85"/>
      <c r="DB57" s="85"/>
      <c r="DC57" s="85"/>
      <c r="DD57" s="85"/>
      <c r="DE57" s="85"/>
      <c r="DF57" s="85"/>
      <c r="DG57" s="85"/>
      <c r="DH57" s="85"/>
      <c r="DI57" s="85"/>
      <c r="DJ57" s="85"/>
      <c r="DK57" s="85"/>
      <c r="DL57" s="85"/>
      <c r="DM57" s="85"/>
      <c r="DN57" s="85"/>
      <c r="DO57" s="85"/>
      <c r="DP57" s="85"/>
      <c r="DQ57" s="85"/>
      <c r="DR57" s="85"/>
      <c r="DS57" s="85"/>
      <c r="DT57" s="85"/>
      <c r="DU57" s="85"/>
      <c r="DV57" s="85"/>
      <c r="DW57" s="85"/>
      <c r="DX57" s="85"/>
      <c r="DY57" s="85"/>
      <c r="DZ57" s="85"/>
      <c r="EA57" s="85"/>
      <c r="EB57" s="85"/>
      <c r="EC57" s="85"/>
      <c r="ED57" s="85"/>
      <c r="EE57" s="85"/>
      <c r="EF57" s="85"/>
      <c r="EG57" s="85"/>
      <c r="EH57" s="85"/>
      <c r="EI57" s="85"/>
      <c r="EJ57" s="85"/>
      <c r="EK57" s="85"/>
      <c r="EL57" s="85"/>
      <c r="EM57" s="85"/>
      <c r="EN57" s="85"/>
      <c r="EO57" s="85"/>
      <c r="EP57" s="85"/>
      <c r="EQ57" s="85"/>
      <c r="ER57" s="85"/>
      <c r="ES57" s="85"/>
      <c r="ET57" s="85"/>
      <c r="EU57" s="85"/>
      <c r="EV57" s="85"/>
      <c r="EW57" s="85"/>
      <c r="EX57" s="85"/>
      <c r="EY57" s="85"/>
      <c r="EZ57" s="85"/>
      <c r="FA57" s="85"/>
      <c r="FB57" s="85"/>
      <c r="FC57" s="85"/>
      <c r="FD57" s="85"/>
      <c r="FE57" s="85"/>
      <c r="FF57" s="85"/>
      <c r="FG57" s="85"/>
      <c r="FH57" s="85"/>
      <c r="FI57" s="85"/>
      <c r="FJ57" s="85"/>
      <c r="FK57" s="85"/>
      <c r="FL57" s="85"/>
      <c r="FM57" s="85"/>
      <c r="FN57" s="85"/>
      <c r="FO57" s="85"/>
      <c r="FP57" s="85"/>
      <c r="FQ57" s="85"/>
      <c r="FR57" s="85"/>
      <c r="FS57" s="85"/>
      <c r="FT57" s="85"/>
      <c r="FU57" s="85"/>
      <c r="FV57" s="85"/>
      <c r="FW57" s="85"/>
      <c r="FX57" s="85"/>
      <c r="FY57" s="85"/>
      <c r="FZ57" s="85"/>
      <c r="GA57" s="85"/>
      <c r="GB57" s="85"/>
      <c r="GC57" s="85"/>
    </row>
    <row r="58" spans="1:185" x14ac:dyDescent="0.35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5"/>
      <c r="AN58" s="85"/>
      <c r="AO58" s="85"/>
      <c r="AP58" s="85"/>
      <c r="AQ58" s="85"/>
      <c r="AR58" s="85"/>
      <c r="AS58" s="85"/>
      <c r="AT58" s="85"/>
      <c r="AU58" s="85"/>
      <c r="AV58" s="85"/>
      <c r="AW58" s="85"/>
      <c r="AX58" s="85"/>
      <c r="AY58" s="85"/>
      <c r="AZ58" s="85"/>
      <c r="BA58" s="85"/>
      <c r="BB58" s="85"/>
      <c r="BC58" s="85"/>
      <c r="BD58" s="85"/>
      <c r="BE58" s="85"/>
      <c r="BF58" s="85"/>
      <c r="BG58" s="85"/>
      <c r="BH58" s="85"/>
      <c r="BI58" s="85"/>
      <c r="BJ58" s="85"/>
      <c r="BK58" s="85"/>
      <c r="BL58" s="85"/>
      <c r="BM58" s="85"/>
      <c r="BN58" s="85"/>
      <c r="BO58" s="85"/>
      <c r="BP58" s="85"/>
      <c r="BQ58" s="85"/>
      <c r="BR58" s="85"/>
      <c r="BS58" s="85"/>
      <c r="BT58" s="85"/>
      <c r="BU58" s="85"/>
      <c r="BV58" s="85"/>
      <c r="BW58" s="85"/>
      <c r="BX58" s="85"/>
      <c r="BY58" s="85"/>
      <c r="BZ58" s="85"/>
      <c r="CA58" s="85"/>
      <c r="CB58" s="85"/>
      <c r="CC58" s="85"/>
      <c r="CD58" s="85"/>
      <c r="CE58" s="85"/>
      <c r="CF58" s="85"/>
      <c r="CG58" s="85"/>
      <c r="CH58" s="85"/>
      <c r="CI58" s="85"/>
      <c r="CJ58" s="85"/>
      <c r="CK58" s="85"/>
      <c r="CL58" s="85"/>
      <c r="CM58" s="85"/>
      <c r="CN58" s="85"/>
      <c r="CO58" s="85"/>
      <c r="CP58" s="85"/>
      <c r="CQ58" s="85"/>
      <c r="CR58" s="85"/>
      <c r="CS58" s="85"/>
      <c r="CT58" s="85"/>
      <c r="CU58" s="85"/>
      <c r="CV58" s="85"/>
      <c r="CW58" s="85"/>
      <c r="CX58" s="85"/>
      <c r="CY58" s="85"/>
      <c r="CZ58" s="85"/>
      <c r="DA58" s="85"/>
      <c r="DB58" s="85"/>
      <c r="DC58" s="85"/>
      <c r="DD58" s="85"/>
      <c r="DE58" s="85"/>
      <c r="DF58" s="85"/>
      <c r="DG58" s="85"/>
      <c r="DH58" s="85"/>
      <c r="DI58" s="85"/>
      <c r="DJ58" s="85"/>
      <c r="DK58" s="85"/>
      <c r="DL58" s="85"/>
      <c r="DM58" s="85"/>
      <c r="DN58" s="85"/>
      <c r="DO58" s="85"/>
      <c r="DP58" s="85"/>
      <c r="DQ58" s="85"/>
      <c r="DR58" s="85"/>
      <c r="DS58" s="85"/>
      <c r="DT58" s="85"/>
      <c r="DU58" s="85"/>
      <c r="DV58" s="85"/>
      <c r="DW58" s="85"/>
      <c r="DX58" s="85"/>
      <c r="DY58" s="85"/>
      <c r="DZ58" s="85"/>
      <c r="EA58" s="85"/>
      <c r="EB58" s="85"/>
      <c r="EC58" s="85"/>
      <c r="ED58" s="85"/>
      <c r="EE58" s="85"/>
      <c r="EF58" s="85"/>
      <c r="EG58" s="85"/>
      <c r="EH58" s="85"/>
      <c r="EI58" s="85"/>
      <c r="EJ58" s="85"/>
      <c r="EK58" s="85"/>
      <c r="EL58" s="85"/>
      <c r="EM58" s="85"/>
      <c r="EN58" s="85"/>
      <c r="EO58" s="85"/>
      <c r="EP58" s="85"/>
      <c r="EQ58" s="85"/>
      <c r="ER58" s="85"/>
      <c r="ES58" s="85"/>
      <c r="ET58" s="85"/>
      <c r="EU58" s="85"/>
      <c r="EV58" s="85"/>
      <c r="EW58" s="85"/>
      <c r="EX58" s="85"/>
      <c r="EY58" s="85"/>
      <c r="EZ58" s="85"/>
      <c r="FA58" s="85"/>
      <c r="FB58" s="85"/>
      <c r="FC58" s="85"/>
      <c r="FD58" s="85"/>
      <c r="FE58" s="85"/>
      <c r="FF58" s="85"/>
      <c r="FG58" s="85"/>
      <c r="FH58" s="85"/>
      <c r="FI58" s="85"/>
      <c r="FJ58" s="85"/>
      <c r="FK58" s="85"/>
      <c r="FL58" s="85"/>
      <c r="FM58" s="85"/>
      <c r="FN58" s="85"/>
      <c r="FO58" s="85"/>
      <c r="FP58" s="85"/>
      <c r="FQ58" s="85"/>
      <c r="FR58" s="85"/>
      <c r="FS58" s="85"/>
      <c r="FT58" s="85"/>
      <c r="FU58" s="85"/>
      <c r="FV58" s="85"/>
      <c r="FW58" s="85"/>
      <c r="FX58" s="85"/>
      <c r="FY58" s="85"/>
      <c r="FZ58" s="85"/>
      <c r="GA58" s="85"/>
      <c r="GB58" s="85"/>
      <c r="GC58" s="85"/>
    </row>
    <row r="59" spans="1:185" x14ac:dyDescent="0.35">
      <c r="A59" s="85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  <c r="AY59" s="85"/>
      <c r="AZ59" s="85"/>
      <c r="BA59" s="85"/>
      <c r="BB59" s="85"/>
      <c r="BC59" s="85"/>
      <c r="BD59" s="85"/>
      <c r="BE59" s="85"/>
      <c r="BF59" s="85"/>
      <c r="BG59" s="85"/>
      <c r="BH59" s="85"/>
      <c r="BI59" s="85"/>
      <c r="BJ59" s="85"/>
      <c r="BK59" s="85"/>
      <c r="BL59" s="85"/>
      <c r="BM59" s="85"/>
      <c r="BN59" s="85"/>
      <c r="BO59" s="85"/>
      <c r="BP59" s="85"/>
      <c r="BQ59" s="85"/>
      <c r="BR59" s="85"/>
      <c r="BS59" s="85"/>
      <c r="BT59" s="85"/>
      <c r="BU59" s="85"/>
      <c r="BV59" s="85"/>
      <c r="BW59" s="85"/>
      <c r="BX59" s="85"/>
      <c r="BY59" s="85"/>
      <c r="BZ59" s="85"/>
      <c r="CA59" s="85"/>
      <c r="CB59" s="85"/>
      <c r="CC59" s="85"/>
      <c r="CD59" s="85"/>
      <c r="CE59" s="85"/>
      <c r="CF59" s="85"/>
      <c r="CG59" s="85"/>
      <c r="CH59" s="85"/>
      <c r="CI59" s="85"/>
      <c r="CJ59" s="85"/>
      <c r="CK59" s="85"/>
      <c r="CL59" s="85"/>
      <c r="CM59" s="85"/>
      <c r="CN59" s="85"/>
      <c r="CO59" s="85"/>
      <c r="CP59" s="85"/>
      <c r="CQ59" s="85"/>
      <c r="CR59" s="85"/>
      <c r="CS59" s="85"/>
      <c r="CT59" s="85"/>
      <c r="CU59" s="85"/>
      <c r="CV59" s="85"/>
      <c r="CW59" s="85"/>
      <c r="CX59" s="85"/>
      <c r="CY59" s="85"/>
      <c r="CZ59" s="85"/>
      <c r="DA59" s="85"/>
      <c r="DB59" s="85"/>
      <c r="DC59" s="85"/>
      <c r="DD59" s="85"/>
      <c r="DE59" s="85"/>
      <c r="DF59" s="85"/>
      <c r="DG59" s="85"/>
      <c r="DH59" s="85"/>
      <c r="DI59" s="85"/>
      <c r="DJ59" s="85"/>
      <c r="DK59" s="85"/>
      <c r="DL59" s="85"/>
      <c r="DM59" s="85"/>
      <c r="DN59" s="85"/>
      <c r="DO59" s="85"/>
      <c r="DP59" s="85"/>
      <c r="DQ59" s="85"/>
      <c r="DR59" s="85"/>
      <c r="DS59" s="85"/>
      <c r="DT59" s="85"/>
      <c r="DU59" s="85"/>
      <c r="DV59" s="85"/>
      <c r="DW59" s="85"/>
      <c r="DX59" s="85"/>
      <c r="DY59" s="85"/>
      <c r="DZ59" s="85"/>
      <c r="EA59" s="85"/>
      <c r="EB59" s="85"/>
      <c r="EC59" s="85"/>
      <c r="ED59" s="85"/>
      <c r="EE59" s="85"/>
      <c r="EF59" s="85"/>
      <c r="EG59" s="85"/>
      <c r="EH59" s="85"/>
      <c r="EI59" s="85"/>
      <c r="EJ59" s="85"/>
      <c r="EK59" s="85"/>
      <c r="EL59" s="85"/>
      <c r="EM59" s="85"/>
      <c r="EN59" s="85"/>
      <c r="EO59" s="85"/>
      <c r="EP59" s="85"/>
      <c r="EQ59" s="85"/>
      <c r="ER59" s="85"/>
      <c r="ES59" s="85"/>
      <c r="ET59" s="85"/>
      <c r="EU59" s="85"/>
      <c r="EV59" s="85"/>
      <c r="EW59" s="85"/>
      <c r="EX59" s="85"/>
      <c r="EY59" s="85"/>
      <c r="EZ59" s="85"/>
      <c r="FA59" s="85"/>
      <c r="FB59" s="85"/>
      <c r="FC59" s="85"/>
      <c r="FD59" s="85"/>
      <c r="FE59" s="85"/>
      <c r="FF59" s="85"/>
      <c r="FG59" s="85"/>
      <c r="FH59" s="85"/>
      <c r="FI59" s="85"/>
      <c r="FJ59" s="85"/>
      <c r="FK59" s="85"/>
      <c r="FL59" s="85"/>
      <c r="FM59" s="85"/>
      <c r="FN59" s="85"/>
      <c r="FO59" s="85"/>
      <c r="FP59" s="85"/>
      <c r="FQ59" s="85"/>
      <c r="FR59" s="85"/>
      <c r="FS59" s="85"/>
      <c r="FT59" s="85"/>
      <c r="FU59" s="85"/>
      <c r="FV59" s="85"/>
      <c r="FW59" s="85"/>
      <c r="FX59" s="85"/>
      <c r="FY59" s="85"/>
      <c r="FZ59" s="85"/>
      <c r="GA59" s="85"/>
      <c r="GB59" s="85"/>
      <c r="GC59" s="85"/>
    </row>
    <row r="60" spans="1:185" x14ac:dyDescent="0.35">
      <c r="A60" s="85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  <c r="AY60" s="85"/>
      <c r="AZ60" s="85"/>
      <c r="BA60" s="85"/>
      <c r="BB60" s="85"/>
      <c r="BC60" s="85"/>
      <c r="BD60" s="85"/>
      <c r="BE60" s="85"/>
      <c r="BF60" s="85"/>
      <c r="BG60" s="85"/>
      <c r="BH60" s="85"/>
      <c r="BI60" s="85"/>
      <c r="BJ60" s="85"/>
      <c r="BK60" s="85"/>
      <c r="BL60" s="85"/>
      <c r="BM60" s="85"/>
      <c r="BN60" s="85"/>
      <c r="BO60" s="85"/>
      <c r="BP60" s="85"/>
      <c r="BQ60" s="85"/>
      <c r="BR60" s="85"/>
      <c r="BS60" s="85"/>
      <c r="BT60" s="85"/>
      <c r="BU60" s="85"/>
      <c r="BV60" s="85"/>
      <c r="BW60" s="85"/>
      <c r="BX60" s="85"/>
      <c r="BY60" s="85"/>
      <c r="BZ60" s="85"/>
      <c r="CA60" s="85"/>
      <c r="CB60" s="85"/>
      <c r="CC60" s="85"/>
      <c r="CD60" s="85"/>
      <c r="CE60" s="85"/>
      <c r="CF60" s="85"/>
      <c r="CG60" s="85"/>
      <c r="CH60" s="85"/>
      <c r="CI60" s="85"/>
      <c r="CJ60" s="85"/>
      <c r="CK60" s="85"/>
      <c r="CL60" s="85"/>
      <c r="CM60" s="85"/>
      <c r="CN60" s="85"/>
      <c r="CO60" s="85"/>
      <c r="CP60" s="85"/>
      <c r="CQ60" s="85"/>
      <c r="CR60" s="85"/>
      <c r="CS60" s="85"/>
      <c r="CT60" s="85"/>
      <c r="CU60" s="85"/>
      <c r="CV60" s="85"/>
      <c r="CW60" s="85"/>
      <c r="CX60" s="85"/>
      <c r="CY60" s="85"/>
      <c r="CZ60" s="85"/>
      <c r="DA60" s="85"/>
      <c r="DB60" s="85"/>
      <c r="DC60" s="85"/>
      <c r="DD60" s="85"/>
      <c r="DE60" s="85"/>
      <c r="DF60" s="85"/>
      <c r="DG60" s="85"/>
      <c r="DH60" s="85"/>
      <c r="DI60" s="85"/>
      <c r="DJ60" s="85"/>
      <c r="DK60" s="85"/>
      <c r="DL60" s="85"/>
      <c r="DM60" s="85"/>
      <c r="DN60" s="85"/>
      <c r="DO60" s="85"/>
      <c r="DP60" s="85"/>
      <c r="DQ60" s="85"/>
      <c r="DR60" s="85"/>
      <c r="DS60" s="85"/>
      <c r="DT60" s="85"/>
      <c r="DU60" s="85"/>
      <c r="DV60" s="85"/>
      <c r="DW60" s="85"/>
      <c r="DX60" s="85"/>
      <c r="DY60" s="85"/>
      <c r="DZ60" s="85"/>
      <c r="EA60" s="85"/>
      <c r="EB60" s="85"/>
      <c r="EC60" s="85"/>
      <c r="ED60" s="85"/>
      <c r="EE60" s="85"/>
      <c r="EF60" s="85"/>
      <c r="EG60" s="85"/>
      <c r="EH60" s="85"/>
      <c r="EI60" s="85"/>
      <c r="EJ60" s="85"/>
      <c r="EK60" s="85"/>
      <c r="EL60" s="85"/>
      <c r="EM60" s="85"/>
      <c r="EN60" s="85"/>
      <c r="EO60" s="85"/>
      <c r="EP60" s="85"/>
      <c r="EQ60" s="85"/>
      <c r="ER60" s="85"/>
      <c r="ES60" s="85"/>
      <c r="ET60" s="85"/>
      <c r="EU60" s="85"/>
      <c r="EV60" s="85"/>
      <c r="EW60" s="85"/>
      <c r="EX60" s="85"/>
      <c r="EY60" s="85"/>
      <c r="EZ60" s="85"/>
      <c r="FA60" s="85"/>
      <c r="FB60" s="85"/>
      <c r="FC60" s="85"/>
      <c r="FD60" s="85"/>
      <c r="FE60" s="85"/>
      <c r="FF60" s="85"/>
      <c r="FG60" s="85"/>
      <c r="FH60" s="85"/>
      <c r="FI60" s="85"/>
      <c r="FJ60" s="85"/>
      <c r="FK60" s="85"/>
      <c r="FL60" s="85"/>
      <c r="FM60" s="85"/>
      <c r="FN60" s="85"/>
      <c r="FO60" s="85"/>
      <c r="FP60" s="85"/>
      <c r="FQ60" s="85"/>
      <c r="FR60" s="85"/>
      <c r="FS60" s="85"/>
      <c r="FT60" s="85"/>
      <c r="FU60" s="85"/>
      <c r="FV60" s="85"/>
      <c r="FW60" s="85"/>
      <c r="FX60" s="85"/>
      <c r="FY60" s="85"/>
      <c r="FZ60" s="85"/>
      <c r="GA60" s="85"/>
      <c r="GB60" s="85"/>
      <c r="GC60" s="85"/>
    </row>
    <row r="61" spans="1:185" x14ac:dyDescent="0.35">
      <c r="A61" s="85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/>
      <c r="AX61" s="85"/>
      <c r="AY61" s="85"/>
      <c r="AZ61" s="85"/>
      <c r="BA61" s="85"/>
      <c r="BB61" s="85"/>
      <c r="BC61" s="85"/>
      <c r="BD61" s="85"/>
      <c r="BE61" s="85"/>
      <c r="BF61" s="85"/>
      <c r="BG61" s="85"/>
      <c r="BH61" s="85"/>
      <c r="BI61" s="85"/>
      <c r="BJ61" s="85"/>
      <c r="BK61" s="85"/>
      <c r="BL61" s="85"/>
      <c r="BM61" s="85"/>
      <c r="BN61" s="85"/>
      <c r="BO61" s="85"/>
      <c r="BP61" s="85"/>
      <c r="BQ61" s="85"/>
      <c r="BR61" s="85"/>
      <c r="BS61" s="85"/>
      <c r="BT61" s="85"/>
      <c r="BU61" s="85"/>
      <c r="BV61" s="85"/>
      <c r="BW61" s="85"/>
      <c r="BX61" s="85"/>
      <c r="BY61" s="85"/>
      <c r="BZ61" s="85"/>
      <c r="CA61" s="85"/>
      <c r="CB61" s="85"/>
      <c r="CC61" s="85"/>
      <c r="CD61" s="85"/>
      <c r="CE61" s="85"/>
      <c r="CF61" s="85"/>
      <c r="CG61" s="85"/>
      <c r="CH61" s="85"/>
      <c r="CI61" s="85"/>
      <c r="CJ61" s="85"/>
      <c r="CK61" s="85"/>
      <c r="CL61" s="85"/>
      <c r="CM61" s="85"/>
      <c r="CN61" s="85"/>
      <c r="CO61" s="85"/>
      <c r="CP61" s="85"/>
      <c r="CQ61" s="85"/>
      <c r="CR61" s="85"/>
      <c r="CS61" s="85"/>
      <c r="CT61" s="85"/>
      <c r="CU61" s="85"/>
      <c r="CV61" s="85"/>
      <c r="CW61" s="85"/>
      <c r="CX61" s="85"/>
      <c r="CY61" s="85"/>
      <c r="CZ61" s="85"/>
      <c r="DA61" s="85"/>
      <c r="DB61" s="85"/>
      <c r="DC61" s="85"/>
      <c r="DD61" s="85"/>
      <c r="DE61" s="85"/>
      <c r="DF61" s="85"/>
      <c r="DG61" s="85"/>
      <c r="DH61" s="85"/>
      <c r="DI61" s="85"/>
      <c r="DJ61" s="85"/>
      <c r="DK61" s="85"/>
      <c r="DL61" s="85"/>
      <c r="DM61" s="85"/>
      <c r="DN61" s="85"/>
      <c r="DO61" s="85"/>
      <c r="DP61" s="85"/>
      <c r="DQ61" s="85"/>
      <c r="DR61" s="85"/>
      <c r="DS61" s="85"/>
      <c r="DT61" s="85"/>
      <c r="DU61" s="85"/>
      <c r="DV61" s="85"/>
      <c r="DW61" s="85"/>
      <c r="DX61" s="85"/>
      <c r="DY61" s="85"/>
      <c r="DZ61" s="85"/>
      <c r="EA61" s="85"/>
      <c r="EB61" s="85"/>
      <c r="EC61" s="85"/>
      <c r="ED61" s="85"/>
      <c r="EE61" s="85"/>
      <c r="EF61" s="85"/>
      <c r="EG61" s="85"/>
      <c r="EH61" s="85"/>
      <c r="EI61" s="85"/>
      <c r="EJ61" s="85"/>
      <c r="EK61" s="85"/>
      <c r="EL61" s="85"/>
      <c r="EM61" s="85"/>
      <c r="EN61" s="85"/>
      <c r="EO61" s="85"/>
      <c r="EP61" s="85"/>
      <c r="EQ61" s="85"/>
      <c r="ER61" s="85"/>
      <c r="ES61" s="85"/>
      <c r="ET61" s="85"/>
      <c r="EU61" s="85"/>
      <c r="EV61" s="85"/>
      <c r="EW61" s="85"/>
      <c r="EX61" s="85"/>
      <c r="EY61" s="85"/>
      <c r="EZ61" s="85"/>
      <c r="FA61" s="85"/>
      <c r="FB61" s="85"/>
      <c r="FC61" s="85"/>
      <c r="FD61" s="85"/>
      <c r="FE61" s="85"/>
      <c r="FF61" s="85"/>
      <c r="FG61" s="85"/>
      <c r="FH61" s="85"/>
      <c r="FI61" s="85"/>
      <c r="FJ61" s="85"/>
      <c r="FK61" s="85"/>
      <c r="FL61" s="85"/>
      <c r="FM61" s="85"/>
      <c r="FN61" s="85"/>
      <c r="FO61" s="85"/>
      <c r="FP61" s="85"/>
      <c r="FQ61" s="85"/>
      <c r="FR61" s="85"/>
      <c r="FS61" s="85"/>
      <c r="FT61" s="85"/>
      <c r="FU61" s="85"/>
      <c r="FV61" s="85"/>
      <c r="FW61" s="85"/>
      <c r="FX61" s="85"/>
      <c r="FY61" s="85"/>
      <c r="FZ61" s="85"/>
      <c r="GA61" s="85"/>
      <c r="GB61" s="85"/>
      <c r="GC61" s="85"/>
    </row>
    <row r="62" spans="1:185" x14ac:dyDescent="0.35">
      <c r="A62" s="85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85"/>
      <c r="CA62" s="85"/>
      <c r="CB62" s="85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  <c r="DB62" s="85"/>
      <c r="DC62" s="85"/>
      <c r="DD62" s="85"/>
      <c r="DE62" s="85"/>
      <c r="DF62" s="85"/>
      <c r="DG62" s="85"/>
      <c r="DH62" s="85"/>
      <c r="DI62" s="85"/>
      <c r="DJ62" s="85"/>
      <c r="DK62" s="85"/>
      <c r="DL62" s="85"/>
      <c r="DM62" s="85"/>
      <c r="DN62" s="85"/>
      <c r="DO62" s="85"/>
      <c r="DP62" s="85"/>
      <c r="DQ62" s="85"/>
      <c r="DR62" s="85"/>
      <c r="DS62" s="85"/>
      <c r="DT62" s="85"/>
      <c r="DU62" s="85"/>
      <c r="DV62" s="85"/>
      <c r="DW62" s="85"/>
      <c r="DX62" s="85"/>
      <c r="DY62" s="85"/>
      <c r="DZ62" s="85"/>
      <c r="EA62" s="85"/>
      <c r="EB62" s="85"/>
      <c r="EC62" s="85"/>
      <c r="ED62" s="85"/>
      <c r="EE62" s="85"/>
      <c r="EF62" s="85"/>
      <c r="EG62" s="85"/>
      <c r="EH62" s="85"/>
      <c r="EI62" s="85"/>
      <c r="EJ62" s="85"/>
      <c r="EK62" s="85"/>
      <c r="EL62" s="85"/>
      <c r="EM62" s="85"/>
      <c r="EN62" s="85"/>
      <c r="EO62" s="85"/>
      <c r="EP62" s="85"/>
      <c r="EQ62" s="85"/>
      <c r="ER62" s="85"/>
      <c r="ES62" s="85"/>
      <c r="ET62" s="85"/>
      <c r="EU62" s="85"/>
      <c r="EV62" s="85"/>
      <c r="EW62" s="85"/>
      <c r="EX62" s="85"/>
      <c r="EY62" s="85"/>
      <c r="EZ62" s="85"/>
      <c r="FA62" s="85"/>
      <c r="FB62" s="85"/>
      <c r="FC62" s="85"/>
      <c r="FD62" s="85"/>
      <c r="FE62" s="85"/>
      <c r="FF62" s="85"/>
      <c r="FG62" s="85"/>
      <c r="FH62" s="85"/>
      <c r="FI62" s="85"/>
      <c r="FJ62" s="85"/>
      <c r="FK62" s="85"/>
      <c r="FL62" s="85"/>
      <c r="FM62" s="85"/>
      <c r="FN62" s="85"/>
      <c r="FO62" s="85"/>
      <c r="FP62" s="85"/>
      <c r="FQ62" s="85"/>
      <c r="FR62" s="85"/>
      <c r="FS62" s="85"/>
      <c r="FT62" s="85"/>
      <c r="FU62" s="85"/>
      <c r="FV62" s="85"/>
      <c r="FW62" s="85"/>
      <c r="FX62" s="85"/>
      <c r="FY62" s="85"/>
      <c r="FZ62" s="85"/>
      <c r="GA62" s="85"/>
      <c r="GB62" s="85"/>
      <c r="GC62" s="85"/>
    </row>
    <row r="63" spans="1:185" x14ac:dyDescent="0.35">
      <c r="A63" s="85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/>
      <c r="BE63" s="85"/>
      <c r="BF63" s="85"/>
      <c r="BG63" s="85"/>
      <c r="BH63" s="85"/>
      <c r="BI63" s="85"/>
      <c r="BJ63" s="85"/>
      <c r="BK63" s="85"/>
      <c r="BL63" s="85"/>
      <c r="BM63" s="85"/>
      <c r="BN63" s="85"/>
      <c r="BO63" s="85"/>
      <c r="BP63" s="85"/>
      <c r="BQ63" s="85"/>
      <c r="BR63" s="85"/>
      <c r="BS63" s="85"/>
      <c r="BT63" s="85"/>
      <c r="BU63" s="85"/>
      <c r="BV63" s="85"/>
      <c r="BW63" s="85"/>
      <c r="BX63" s="85"/>
      <c r="BY63" s="85"/>
      <c r="BZ63" s="85"/>
      <c r="CA63" s="85"/>
      <c r="CB63" s="85"/>
      <c r="CC63" s="85"/>
      <c r="CD63" s="85"/>
      <c r="CE63" s="85"/>
      <c r="CF63" s="85"/>
      <c r="CG63" s="85"/>
      <c r="CH63" s="85"/>
      <c r="CI63" s="85"/>
      <c r="CJ63" s="85"/>
      <c r="CK63" s="85"/>
      <c r="CL63" s="85"/>
      <c r="CM63" s="85"/>
      <c r="CN63" s="85"/>
      <c r="CO63" s="85"/>
      <c r="CP63" s="85"/>
      <c r="CQ63" s="85"/>
      <c r="CR63" s="85"/>
      <c r="CS63" s="85"/>
      <c r="CT63" s="85"/>
      <c r="CU63" s="85"/>
      <c r="CV63" s="85"/>
      <c r="CW63" s="85"/>
      <c r="CX63" s="85"/>
      <c r="CY63" s="85"/>
      <c r="CZ63" s="85"/>
      <c r="DA63" s="85"/>
      <c r="DB63" s="85"/>
      <c r="DC63" s="85"/>
      <c r="DD63" s="85"/>
      <c r="DE63" s="85"/>
      <c r="DF63" s="85"/>
      <c r="DG63" s="85"/>
      <c r="DH63" s="85"/>
      <c r="DI63" s="85"/>
      <c r="DJ63" s="85"/>
      <c r="DK63" s="85"/>
      <c r="DL63" s="85"/>
      <c r="DM63" s="85"/>
      <c r="DN63" s="85"/>
      <c r="DO63" s="85"/>
      <c r="DP63" s="85"/>
      <c r="DQ63" s="85"/>
      <c r="DR63" s="85"/>
      <c r="DS63" s="85"/>
      <c r="DT63" s="85"/>
      <c r="DU63" s="85"/>
      <c r="DV63" s="85"/>
      <c r="DW63" s="85"/>
      <c r="DX63" s="85"/>
      <c r="DY63" s="85"/>
      <c r="DZ63" s="85"/>
      <c r="EA63" s="85"/>
      <c r="EB63" s="85"/>
      <c r="EC63" s="85"/>
      <c r="ED63" s="85"/>
      <c r="EE63" s="85"/>
      <c r="EF63" s="85"/>
      <c r="EG63" s="85"/>
      <c r="EH63" s="85"/>
      <c r="EI63" s="85"/>
      <c r="EJ63" s="85"/>
      <c r="EK63" s="85"/>
      <c r="EL63" s="85"/>
      <c r="EM63" s="85"/>
      <c r="EN63" s="85"/>
      <c r="EO63" s="85"/>
      <c r="EP63" s="85"/>
      <c r="EQ63" s="85"/>
      <c r="ER63" s="85"/>
      <c r="ES63" s="85"/>
      <c r="ET63" s="85"/>
      <c r="EU63" s="85"/>
      <c r="EV63" s="85"/>
      <c r="EW63" s="85"/>
      <c r="EX63" s="85"/>
      <c r="EY63" s="85"/>
      <c r="EZ63" s="85"/>
      <c r="FA63" s="85"/>
      <c r="FB63" s="85"/>
      <c r="FC63" s="85"/>
      <c r="FD63" s="85"/>
      <c r="FE63" s="85"/>
      <c r="FF63" s="85"/>
      <c r="FG63" s="85"/>
      <c r="FH63" s="85"/>
      <c r="FI63" s="85"/>
      <c r="FJ63" s="85"/>
      <c r="FK63" s="85"/>
      <c r="FL63" s="85"/>
      <c r="FM63" s="85"/>
      <c r="FN63" s="85"/>
      <c r="FO63" s="85"/>
      <c r="FP63" s="85"/>
      <c r="FQ63" s="85"/>
      <c r="FR63" s="85"/>
      <c r="FS63" s="85"/>
      <c r="FT63" s="85"/>
      <c r="FU63" s="85"/>
      <c r="FV63" s="85"/>
      <c r="FW63" s="85"/>
      <c r="FX63" s="85"/>
      <c r="FY63" s="85"/>
      <c r="FZ63" s="85"/>
      <c r="GA63" s="85"/>
      <c r="GB63" s="85"/>
      <c r="GC63" s="85"/>
    </row>
    <row r="64" spans="1:185" x14ac:dyDescent="0.35">
      <c r="A64" s="85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AN64" s="85"/>
      <c r="AO64" s="85"/>
      <c r="AP64" s="85"/>
      <c r="AQ64" s="85"/>
      <c r="AR64" s="85"/>
      <c r="AS64" s="85"/>
      <c r="AT64" s="85"/>
      <c r="AU64" s="85"/>
      <c r="AV64" s="85"/>
      <c r="AW64" s="85"/>
      <c r="AX64" s="85"/>
      <c r="AY64" s="85"/>
      <c r="AZ64" s="85"/>
      <c r="BA64" s="85"/>
      <c r="BB64" s="85"/>
      <c r="BC64" s="85"/>
      <c r="BD64" s="85"/>
      <c r="BE64" s="85"/>
      <c r="BF64" s="85"/>
      <c r="BG64" s="85"/>
      <c r="BH64" s="85"/>
      <c r="BI64" s="85"/>
      <c r="BJ64" s="85"/>
      <c r="BK64" s="85"/>
      <c r="BL64" s="85"/>
      <c r="BM64" s="85"/>
      <c r="BN64" s="85"/>
      <c r="BO64" s="85"/>
      <c r="BP64" s="85"/>
      <c r="BQ64" s="85"/>
      <c r="BR64" s="85"/>
      <c r="BS64" s="85"/>
      <c r="BT64" s="85"/>
      <c r="BU64" s="85"/>
      <c r="BV64" s="85"/>
      <c r="BW64" s="85"/>
      <c r="BX64" s="85"/>
      <c r="BY64" s="85"/>
      <c r="BZ64" s="85"/>
      <c r="CA64" s="85"/>
      <c r="CB64" s="85"/>
      <c r="CC64" s="85"/>
      <c r="CD64" s="85"/>
      <c r="CE64" s="85"/>
      <c r="CF64" s="85"/>
      <c r="CG64" s="85"/>
      <c r="CH64" s="85"/>
      <c r="CI64" s="85"/>
      <c r="CJ64" s="85"/>
      <c r="CK64" s="85"/>
      <c r="CL64" s="85"/>
      <c r="CM64" s="85"/>
      <c r="CN64" s="85"/>
      <c r="CO64" s="85"/>
      <c r="CP64" s="85"/>
      <c r="CQ64" s="85"/>
      <c r="CR64" s="85"/>
      <c r="CS64" s="85"/>
      <c r="CT64" s="85"/>
      <c r="CU64" s="85"/>
      <c r="CV64" s="85"/>
      <c r="CW64" s="85"/>
      <c r="CX64" s="85"/>
      <c r="CY64" s="85"/>
      <c r="CZ64" s="85"/>
      <c r="DA64" s="85"/>
      <c r="DB64" s="85"/>
      <c r="DC64" s="85"/>
      <c r="DD64" s="85"/>
      <c r="DE64" s="85"/>
      <c r="DF64" s="85"/>
      <c r="DG64" s="85"/>
      <c r="DH64" s="85"/>
      <c r="DI64" s="85"/>
      <c r="DJ64" s="85"/>
      <c r="DK64" s="85"/>
      <c r="DL64" s="85"/>
      <c r="DM64" s="85"/>
      <c r="DN64" s="85"/>
      <c r="DO64" s="85"/>
      <c r="DP64" s="85"/>
      <c r="DQ64" s="85"/>
      <c r="DR64" s="85"/>
      <c r="DS64" s="85"/>
      <c r="DT64" s="85"/>
      <c r="DU64" s="85"/>
      <c r="DV64" s="85"/>
      <c r="DW64" s="85"/>
      <c r="DX64" s="85"/>
      <c r="DY64" s="85"/>
      <c r="DZ64" s="85"/>
      <c r="EA64" s="85"/>
      <c r="EB64" s="85"/>
      <c r="EC64" s="85"/>
      <c r="ED64" s="85"/>
      <c r="EE64" s="85"/>
      <c r="EF64" s="85"/>
      <c r="EG64" s="85"/>
      <c r="EH64" s="85"/>
      <c r="EI64" s="85"/>
      <c r="EJ64" s="85"/>
      <c r="EK64" s="85"/>
      <c r="EL64" s="85"/>
      <c r="EM64" s="85"/>
      <c r="EN64" s="85"/>
      <c r="EO64" s="85"/>
      <c r="EP64" s="85"/>
      <c r="EQ64" s="85"/>
      <c r="ER64" s="85"/>
      <c r="ES64" s="85"/>
      <c r="ET64" s="85"/>
      <c r="EU64" s="85"/>
      <c r="EV64" s="85"/>
      <c r="EW64" s="85"/>
      <c r="EX64" s="85"/>
      <c r="EY64" s="85"/>
      <c r="EZ64" s="85"/>
      <c r="FA64" s="85"/>
      <c r="FB64" s="85"/>
      <c r="FC64" s="85"/>
      <c r="FD64" s="85"/>
      <c r="FE64" s="85"/>
      <c r="FF64" s="85"/>
      <c r="FG64" s="85"/>
      <c r="FH64" s="85"/>
      <c r="FI64" s="85"/>
      <c r="FJ64" s="85"/>
      <c r="FK64" s="85"/>
      <c r="FL64" s="85"/>
      <c r="FM64" s="85"/>
      <c r="FN64" s="85"/>
      <c r="FO64" s="85"/>
      <c r="FP64" s="85"/>
      <c r="FQ64" s="85"/>
      <c r="FR64" s="85"/>
      <c r="FS64" s="85"/>
      <c r="FT64" s="85"/>
      <c r="FU64" s="85"/>
      <c r="FV64" s="85"/>
      <c r="FW64" s="85"/>
      <c r="FX64" s="85"/>
      <c r="FY64" s="85"/>
      <c r="FZ64" s="85"/>
      <c r="GA64" s="85"/>
      <c r="GB64" s="85"/>
      <c r="GC64" s="85"/>
    </row>
    <row r="65" spans="1:185" x14ac:dyDescent="0.35">
      <c r="A65" s="85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  <c r="DO65" s="85"/>
      <c r="DP65" s="85"/>
      <c r="DQ65" s="85"/>
      <c r="DR65" s="85"/>
      <c r="DS65" s="85"/>
      <c r="DT65" s="85"/>
      <c r="DU65" s="85"/>
      <c r="DV65" s="85"/>
      <c r="DW65" s="85"/>
      <c r="DX65" s="85"/>
      <c r="DY65" s="85"/>
      <c r="DZ65" s="85"/>
      <c r="EA65" s="85"/>
      <c r="EB65" s="85"/>
      <c r="EC65" s="85"/>
      <c r="ED65" s="85"/>
      <c r="EE65" s="85"/>
      <c r="EF65" s="85"/>
      <c r="EG65" s="85"/>
      <c r="EH65" s="85"/>
      <c r="EI65" s="85"/>
      <c r="EJ65" s="85"/>
      <c r="EK65" s="85"/>
      <c r="EL65" s="85"/>
      <c r="EM65" s="85"/>
      <c r="EN65" s="85"/>
      <c r="EO65" s="85"/>
      <c r="EP65" s="85"/>
      <c r="EQ65" s="85"/>
      <c r="ER65" s="85"/>
      <c r="ES65" s="85"/>
      <c r="ET65" s="85"/>
      <c r="EU65" s="85"/>
      <c r="EV65" s="85"/>
      <c r="EW65" s="85"/>
      <c r="EX65" s="85"/>
      <c r="EY65" s="85"/>
      <c r="EZ65" s="85"/>
      <c r="FA65" s="85"/>
      <c r="FB65" s="85"/>
      <c r="FC65" s="85"/>
      <c r="FD65" s="85"/>
      <c r="FE65" s="85"/>
      <c r="FF65" s="85"/>
      <c r="FG65" s="85"/>
      <c r="FH65" s="85"/>
      <c r="FI65" s="85"/>
      <c r="FJ65" s="85"/>
      <c r="FK65" s="85"/>
      <c r="FL65" s="85"/>
      <c r="FM65" s="85"/>
      <c r="FN65" s="85"/>
      <c r="FO65" s="85"/>
      <c r="FP65" s="85"/>
      <c r="FQ65" s="85"/>
      <c r="FR65" s="85"/>
      <c r="FS65" s="85"/>
      <c r="FT65" s="85"/>
      <c r="FU65" s="85"/>
      <c r="FV65" s="85"/>
      <c r="FW65" s="85"/>
      <c r="FX65" s="85"/>
      <c r="FY65" s="85"/>
      <c r="FZ65" s="85"/>
      <c r="GA65" s="85"/>
      <c r="GB65" s="85"/>
      <c r="GC65" s="85"/>
    </row>
    <row r="66" spans="1:185" x14ac:dyDescent="0.35">
      <c r="A66" s="85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85"/>
      <c r="AZ66" s="85"/>
      <c r="BA66" s="85"/>
      <c r="BB66" s="85"/>
      <c r="BC66" s="85"/>
      <c r="BD66" s="85"/>
      <c r="BE66" s="85"/>
      <c r="BF66" s="85"/>
      <c r="BG66" s="85"/>
      <c r="BH66" s="85"/>
      <c r="BI66" s="85"/>
      <c r="BJ66" s="85"/>
      <c r="BK66" s="85"/>
      <c r="BL66" s="85"/>
      <c r="BM66" s="85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  <c r="DF66" s="85"/>
      <c r="DG66" s="85"/>
      <c r="DH66" s="85"/>
      <c r="DI66" s="85"/>
      <c r="DJ66" s="85"/>
      <c r="DK66" s="85"/>
      <c r="DL66" s="85"/>
      <c r="DM66" s="85"/>
      <c r="DN66" s="85"/>
      <c r="DO66" s="85"/>
      <c r="DP66" s="85"/>
      <c r="DQ66" s="85"/>
      <c r="DR66" s="85"/>
      <c r="DS66" s="85"/>
      <c r="DT66" s="85"/>
      <c r="DU66" s="85"/>
      <c r="DV66" s="85"/>
      <c r="DW66" s="85"/>
      <c r="DX66" s="85"/>
      <c r="DY66" s="85"/>
      <c r="DZ66" s="85"/>
      <c r="EA66" s="85"/>
      <c r="EB66" s="85"/>
      <c r="EC66" s="85"/>
      <c r="ED66" s="85"/>
      <c r="EE66" s="85"/>
      <c r="EF66" s="85"/>
      <c r="EG66" s="85"/>
      <c r="EH66" s="85"/>
      <c r="EI66" s="85"/>
      <c r="EJ66" s="85"/>
      <c r="EK66" s="85"/>
      <c r="EL66" s="85"/>
      <c r="EM66" s="85"/>
      <c r="EN66" s="85"/>
      <c r="EO66" s="85"/>
      <c r="EP66" s="85"/>
      <c r="EQ66" s="85"/>
      <c r="ER66" s="85"/>
      <c r="ES66" s="85"/>
      <c r="ET66" s="85"/>
      <c r="EU66" s="85"/>
      <c r="EV66" s="85"/>
      <c r="EW66" s="85"/>
      <c r="EX66" s="85"/>
      <c r="EY66" s="85"/>
      <c r="EZ66" s="85"/>
      <c r="FA66" s="85"/>
      <c r="FB66" s="85"/>
      <c r="FC66" s="85"/>
      <c r="FD66" s="85"/>
      <c r="FE66" s="85"/>
      <c r="FF66" s="85"/>
      <c r="FG66" s="85"/>
      <c r="FH66" s="85"/>
      <c r="FI66" s="85"/>
      <c r="FJ66" s="85"/>
      <c r="FK66" s="85"/>
      <c r="FL66" s="85"/>
      <c r="FM66" s="85"/>
      <c r="FN66" s="85"/>
      <c r="FO66" s="85"/>
      <c r="FP66" s="85"/>
      <c r="FQ66" s="85"/>
      <c r="FR66" s="85"/>
      <c r="FS66" s="85"/>
      <c r="FT66" s="85"/>
      <c r="FU66" s="85"/>
      <c r="FV66" s="85"/>
      <c r="FW66" s="85"/>
      <c r="FX66" s="85"/>
      <c r="FY66" s="85"/>
      <c r="FZ66" s="85"/>
      <c r="GA66" s="85"/>
      <c r="GB66" s="85"/>
      <c r="GC66" s="85"/>
    </row>
    <row r="67" spans="1:185" x14ac:dyDescent="0.35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  <c r="BE67" s="85"/>
      <c r="BF67" s="85"/>
      <c r="BG67" s="85"/>
      <c r="BH67" s="85"/>
      <c r="BI67" s="85"/>
      <c r="BJ67" s="85"/>
      <c r="BK67" s="85"/>
      <c r="BL67" s="85"/>
      <c r="BM67" s="85"/>
      <c r="BN67" s="85"/>
      <c r="BO67" s="85"/>
      <c r="BP67" s="85"/>
      <c r="BQ67" s="85"/>
      <c r="BR67" s="85"/>
      <c r="BS67" s="85"/>
      <c r="BT67" s="85"/>
      <c r="BU67" s="85"/>
      <c r="BV67" s="85"/>
      <c r="BW67" s="85"/>
      <c r="BX67" s="85"/>
      <c r="BY67" s="85"/>
      <c r="BZ67" s="85"/>
      <c r="CA67" s="85"/>
      <c r="CB67" s="85"/>
      <c r="CC67" s="85"/>
      <c r="CD67" s="85"/>
      <c r="CE67" s="85"/>
      <c r="CF67" s="85"/>
      <c r="CG67" s="85"/>
      <c r="CH67" s="85"/>
      <c r="CI67" s="85"/>
      <c r="CJ67" s="85"/>
      <c r="CK67" s="85"/>
      <c r="CL67" s="85"/>
      <c r="CM67" s="85"/>
      <c r="CN67" s="85"/>
      <c r="CO67" s="85"/>
      <c r="CP67" s="85"/>
      <c r="CQ67" s="85"/>
      <c r="CR67" s="85"/>
      <c r="CS67" s="85"/>
      <c r="CT67" s="85"/>
      <c r="CU67" s="85"/>
      <c r="CV67" s="85"/>
      <c r="CW67" s="85"/>
      <c r="CX67" s="85"/>
      <c r="CY67" s="85"/>
      <c r="CZ67" s="85"/>
      <c r="DA67" s="85"/>
      <c r="DB67" s="85"/>
      <c r="DC67" s="85"/>
      <c r="DD67" s="85"/>
      <c r="DE67" s="85"/>
      <c r="DF67" s="85"/>
      <c r="DG67" s="85"/>
      <c r="DH67" s="85"/>
      <c r="DI67" s="85"/>
      <c r="DJ67" s="85"/>
      <c r="DK67" s="85"/>
      <c r="DL67" s="85"/>
      <c r="DM67" s="85"/>
      <c r="DN67" s="85"/>
      <c r="DO67" s="85"/>
      <c r="DP67" s="85"/>
      <c r="DQ67" s="85"/>
      <c r="DR67" s="85"/>
      <c r="DS67" s="85"/>
      <c r="DT67" s="85"/>
      <c r="DU67" s="85"/>
      <c r="DV67" s="85"/>
      <c r="DW67" s="85"/>
      <c r="DX67" s="85"/>
      <c r="DY67" s="85"/>
      <c r="DZ67" s="85"/>
      <c r="EA67" s="85"/>
      <c r="EB67" s="85"/>
      <c r="EC67" s="85"/>
      <c r="ED67" s="85"/>
      <c r="EE67" s="85"/>
      <c r="EF67" s="85"/>
      <c r="EG67" s="85"/>
      <c r="EH67" s="85"/>
      <c r="EI67" s="85"/>
      <c r="EJ67" s="85"/>
      <c r="EK67" s="85"/>
      <c r="EL67" s="85"/>
      <c r="EM67" s="85"/>
      <c r="EN67" s="85"/>
      <c r="EO67" s="85"/>
      <c r="EP67" s="85"/>
      <c r="EQ67" s="85"/>
      <c r="ER67" s="85"/>
      <c r="ES67" s="85"/>
      <c r="ET67" s="85"/>
      <c r="EU67" s="85"/>
      <c r="EV67" s="85"/>
      <c r="EW67" s="85"/>
      <c r="EX67" s="85"/>
      <c r="EY67" s="85"/>
      <c r="EZ67" s="85"/>
      <c r="FA67" s="85"/>
      <c r="FB67" s="85"/>
      <c r="FC67" s="85"/>
      <c r="FD67" s="85"/>
      <c r="FE67" s="85"/>
      <c r="FF67" s="85"/>
      <c r="FG67" s="85"/>
      <c r="FH67" s="85"/>
      <c r="FI67" s="85"/>
      <c r="FJ67" s="85"/>
      <c r="FK67" s="85"/>
      <c r="FL67" s="85"/>
      <c r="FM67" s="85"/>
      <c r="FN67" s="85"/>
      <c r="FO67" s="85"/>
      <c r="FP67" s="85"/>
      <c r="FQ67" s="85"/>
      <c r="FR67" s="85"/>
      <c r="FS67" s="85"/>
      <c r="FT67" s="85"/>
      <c r="FU67" s="85"/>
      <c r="FV67" s="85"/>
      <c r="FW67" s="85"/>
      <c r="FX67" s="85"/>
      <c r="FY67" s="85"/>
      <c r="FZ67" s="85"/>
      <c r="GA67" s="85"/>
      <c r="GB67" s="85"/>
      <c r="GC67" s="85"/>
    </row>
    <row r="68" spans="1:185" x14ac:dyDescent="0.35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  <c r="BE68" s="85"/>
      <c r="BF68" s="85"/>
      <c r="BG68" s="85"/>
      <c r="BH68" s="85"/>
      <c r="BI68" s="85"/>
      <c r="BJ68" s="85"/>
      <c r="BK68" s="85"/>
      <c r="BL68" s="85"/>
      <c r="BM68" s="85"/>
      <c r="BN68" s="85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  <c r="DB68" s="85"/>
      <c r="DC68" s="85"/>
      <c r="DD68" s="85"/>
      <c r="DE68" s="85"/>
      <c r="DF68" s="85"/>
      <c r="DG68" s="85"/>
      <c r="DH68" s="85"/>
      <c r="DI68" s="85"/>
      <c r="DJ68" s="85"/>
      <c r="DK68" s="85"/>
      <c r="DL68" s="85"/>
      <c r="DM68" s="85"/>
      <c r="DN68" s="85"/>
      <c r="DO68" s="85"/>
      <c r="DP68" s="85"/>
      <c r="DQ68" s="85"/>
      <c r="DR68" s="85"/>
      <c r="DS68" s="85"/>
      <c r="DT68" s="85"/>
      <c r="DU68" s="85"/>
      <c r="DV68" s="85"/>
      <c r="DW68" s="85"/>
      <c r="DX68" s="85"/>
      <c r="DY68" s="85"/>
      <c r="DZ68" s="85"/>
      <c r="EA68" s="85"/>
      <c r="EB68" s="85"/>
      <c r="EC68" s="85"/>
      <c r="ED68" s="85"/>
      <c r="EE68" s="85"/>
      <c r="EF68" s="85"/>
      <c r="EG68" s="85"/>
      <c r="EH68" s="85"/>
      <c r="EI68" s="85"/>
      <c r="EJ68" s="85"/>
      <c r="EK68" s="85"/>
      <c r="EL68" s="85"/>
      <c r="EM68" s="85"/>
      <c r="EN68" s="85"/>
      <c r="EO68" s="85"/>
      <c r="EP68" s="85"/>
      <c r="EQ68" s="85"/>
      <c r="ER68" s="85"/>
      <c r="ES68" s="85"/>
      <c r="ET68" s="85"/>
      <c r="EU68" s="85"/>
      <c r="EV68" s="85"/>
      <c r="EW68" s="85"/>
      <c r="EX68" s="85"/>
      <c r="EY68" s="85"/>
      <c r="EZ68" s="85"/>
      <c r="FA68" s="85"/>
      <c r="FB68" s="85"/>
      <c r="FC68" s="85"/>
      <c r="FD68" s="85"/>
      <c r="FE68" s="85"/>
      <c r="FF68" s="85"/>
      <c r="FG68" s="85"/>
      <c r="FH68" s="85"/>
      <c r="FI68" s="85"/>
      <c r="FJ68" s="85"/>
      <c r="FK68" s="85"/>
      <c r="FL68" s="85"/>
      <c r="FM68" s="85"/>
      <c r="FN68" s="85"/>
      <c r="FO68" s="85"/>
      <c r="FP68" s="85"/>
      <c r="FQ68" s="85"/>
      <c r="FR68" s="85"/>
      <c r="FS68" s="85"/>
      <c r="FT68" s="85"/>
      <c r="FU68" s="85"/>
      <c r="FV68" s="85"/>
      <c r="FW68" s="85"/>
      <c r="FX68" s="85"/>
      <c r="FY68" s="85"/>
      <c r="FZ68" s="85"/>
      <c r="GA68" s="85"/>
      <c r="GB68" s="85"/>
      <c r="GC68" s="85"/>
    </row>
    <row r="69" spans="1:185" x14ac:dyDescent="0.35">
      <c r="A69" s="85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85"/>
      <c r="AZ69" s="85"/>
      <c r="BA69" s="85"/>
      <c r="BB69" s="85"/>
      <c r="BC69" s="85"/>
      <c r="BD69" s="85"/>
      <c r="BE69" s="85"/>
      <c r="BF69" s="85"/>
      <c r="BG69" s="85"/>
      <c r="BH69" s="85"/>
      <c r="BI69" s="85"/>
      <c r="BJ69" s="85"/>
      <c r="BK69" s="85"/>
      <c r="BL69" s="85"/>
      <c r="BM69" s="85"/>
      <c r="BN69" s="85"/>
      <c r="BO69" s="85"/>
      <c r="BP69" s="85"/>
      <c r="BQ69" s="85"/>
      <c r="BR69" s="85"/>
      <c r="BS69" s="85"/>
      <c r="BT69" s="85"/>
      <c r="BU69" s="85"/>
      <c r="BV69" s="85"/>
      <c r="BW69" s="85"/>
      <c r="BX69" s="85"/>
      <c r="BY69" s="85"/>
      <c r="BZ69" s="85"/>
      <c r="CA69" s="85"/>
      <c r="CB69" s="85"/>
      <c r="CC69" s="85"/>
      <c r="CD69" s="85"/>
      <c r="CE69" s="85"/>
      <c r="CF69" s="85"/>
      <c r="CG69" s="85"/>
      <c r="CH69" s="85"/>
      <c r="CI69" s="85"/>
      <c r="CJ69" s="85"/>
      <c r="CK69" s="85"/>
      <c r="CL69" s="85"/>
      <c r="CM69" s="85"/>
      <c r="CN69" s="85"/>
      <c r="CO69" s="85"/>
      <c r="CP69" s="85"/>
      <c r="CQ69" s="85"/>
      <c r="CR69" s="85"/>
      <c r="CS69" s="85"/>
      <c r="CT69" s="85"/>
      <c r="CU69" s="85"/>
      <c r="CV69" s="85"/>
      <c r="CW69" s="85"/>
      <c r="CX69" s="85"/>
      <c r="CY69" s="85"/>
      <c r="CZ69" s="85"/>
      <c r="DA69" s="85"/>
      <c r="DB69" s="85"/>
      <c r="DC69" s="85"/>
      <c r="DD69" s="85"/>
      <c r="DE69" s="85"/>
      <c r="DF69" s="85"/>
      <c r="DG69" s="85"/>
      <c r="DH69" s="85"/>
      <c r="DI69" s="85"/>
      <c r="DJ69" s="85"/>
      <c r="DK69" s="85"/>
      <c r="DL69" s="85"/>
      <c r="DM69" s="85"/>
      <c r="DN69" s="85"/>
      <c r="DO69" s="85"/>
      <c r="DP69" s="85"/>
      <c r="DQ69" s="85"/>
      <c r="DR69" s="85"/>
      <c r="DS69" s="85"/>
      <c r="DT69" s="85"/>
      <c r="DU69" s="85"/>
      <c r="DV69" s="85"/>
      <c r="DW69" s="85"/>
      <c r="DX69" s="85"/>
      <c r="DY69" s="85"/>
      <c r="DZ69" s="85"/>
      <c r="EA69" s="85"/>
      <c r="EB69" s="85"/>
      <c r="EC69" s="85"/>
      <c r="ED69" s="85"/>
      <c r="EE69" s="85"/>
      <c r="EF69" s="85"/>
      <c r="EG69" s="85"/>
      <c r="EH69" s="85"/>
      <c r="EI69" s="85"/>
      <c r="EJ69" s="85"/>
      <c r="EK69" s="85"/>
      <c r="EL69" s="85"/>
      <c r="EM69" s="85"/>
      <c r="EN69" s="85"/>
      <c r="EO69" s="85"/>
      <c r="EP69" s="85"/>
      <c r="EQ69" s="85"/>
      <c r="ER69" s="85"/>
      <c r="ES69" s="85"/>
      <c r="ET69" s="85"/>
      <c r="EU69" s="85"/>
      <c r="EV69" s="85"/>
      <c r="EW69" s="85"/>
      <c r="EX69" s="85"/>
      <c r="EY69" s="85"/>
      <c r="EZ69" s="85"/>
      <c r="FA69" s="85"/>
      <c r="FB69" s="85"/>
      <c r="FC69" s="85"/>
      <c r="FD69" s="85"/>
      <c r="FE69" s="85"/>
      <c r="FF69" s="85"/>
      <c r="FG69" s="85"/>
      <c r="FH69" s="85"/>
      <c r="FI69" s="85"/>
      <c r="FJ69" s="85"/>
      <c r="FK69" s="85"/>
      <c r="FL69" s="85"/>
      <c r="FM69" s="85"/>
      <c r="FN69" s="85"/>
      <c r="FO69" s="85"/>
      <c r="FP69" s="85"/>
      <c r="FQ69" s="85"/>
      <c r="FR69" s="85"/>
      <c r="FS69" s="85"/>
      <c r="FT69" s="85"/>
      <c r="FU69" s="85"/>
      <c r="FV69" s="85"/>
      <c r="FW69" s="85"/>
      <c r="FX69" s="85"/>
      <c r="FY69" s="85"/>
      <c r="FZ69" s="85"/>
      <c r="GA69" s="85"/>
      <c r="GB69" s="85"/>
      <c r="GC69" s="85"/>
    </row>
    <row r="70" spans="1:185" x14ac:dyDescent="0.35">
      <c r="A70" s="85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AZ70" s="85"/>
      <c r="BA70" s="85"/>
      <c r="BB70" s="85"/>
      <c r="BC70" s="85"/>
      <c r="BD70" s="85"/>
      <c r="BE70" s="85"/>
      <c r="BF70" s="85"/>
      <c r="BG70" s="85"/>
      <c r="BH70" s="85"/>
      <c r="BI70" s="85"/>
      <c r="BJ70" s="85"/>
      <c r="BK70" s="85"/>
      <c r="BL70" s="85"/>
      <c r="BM70" s="85"/>
      <c r="BN70" s="85"/>
      <c r="BO70" s="85"/>
      <c r="BP70" s="85"/>
      <c r="BQ70" s="85"/>
      <c r="BR70" s="85"/>
      <c r="BS70" s="85"/>
      <c r="BT70" s="85"/>
      <c r="BU70" s="85"/>
      <c r="BV70" s="85"/>
      <c r="BW70" s="85"/>
      <c r="BX70" s="85"/>
      <c r="BY70" s="85"/>
      <c r="BZ70" s="85"/>
      <c r="CA70" s="85"/>
      <c r="CB70" s="85"/>
      <c r="CC70" s="85"/>
      <c r="CD70" s="85"/>
      <c r="CE70" s="85"/>
      <c r="CF70" s="85"/>
      <c r="CG70" s="85"/>
      <c r="CH70" s="85"/>
      <c r="CI70" s="85"/>
      <c r="CJ70" s="85"/>
      <c r="CK70" s="85"/>
      <c r="CL70" s="85"/>
      <c r="CM70" s="85"/>
      <c r="CN70" s="85"/>
      <c r="CO70" s="85"/>
      <c r="CP70" s="85"/>
      <c r="CQ70" s="85"/>
      <c r="CR70" s="85"/>
      <c r="CS70" s="85"/>
      <c r="CT70" s="85"/>
      <c r="CU70" s="85"/>
      <c r="CV70" s="85"/>
      <c r="CW70" s="85"/>
      <c r="CX70" s="85"/>
      <c r="CY70" s="85"/>
      <c r="CZ70" s="85"/>
      <c r="DA70" s="85"/>
      <c r="DB70" s="85"/>
      <c r="DC70" s="85"/>
      <c r="DD70" s="85"/>
      <c r="DE70" s="85"/>
      <c r="DF70" s="85"/>
      <c r="DG70" s="85"/>
      <c r="DH70" s="85"/>
      <c r="DI70" s="85"/>
      <c r="DJ70" s="85"/>
      <c r="DK70" s="85"/>
      <c r="DL70" s="85"/>
      <c r="DM70" s="85"/>
      <c r="DN70" s="85"/>
      <c r="DO70" s="85"/>
      <c r="DP70" s="85"/>
      <c r="DQ70" s="85"/>
      <c r="DR70" s="85"/>
      <c r="DS70" s="85"/>
      <c r="DT70" s="85"/>
      <c r="DU70" s="85"/>
      <c r="DV70" s="85"/>
      <c r="DW70" s="85"/>
      <c r="DX70" s="85"/>
      <c r="DY70" s="85"/>
      <c r="DZ70" s="85"/>
      <c r="EA70" s="85"/>
      <c r="EB70" s="85"/>
      <c r="EC70" s="85"/>
      <c r="ED70" s="85"/>
      <c r="EE70" s="85"/>
      <c r="EF70" s="85"/>
      <c r="EG70" s="85"/>
      <c r="EH70" s="85"/>
      <c r="EI70" s="85"/>
      <c r="EJ70" s="85"/>
      <c r="EK70" s="85"/>
      <c r="EL70" s="85"/>
      <c r="EM70" s="85"/>
      <c r="EN70" s="85"/>
      <c r="EO70" s="85"/>
      <c r="EP70" s="85"/>
      <c r="EQ70" s="85"/>
      <c r="ER70" s="85"/>
      <c r="ES70" s="85"/>
      <c r="ET70" s="85"/>
      <c r="EU70" s="85"/>
      <c r="EV70" s="85"/>
      <c r="EW70" s="85"/>
      <c r="EX70" s="85"/>
      <c r="EY70" s="85"/>
      <c r="EZ70" s="85"/>
      <c r="FA70" s="85"/>
      <c r="FB70" s="85"/>
      <c r="FC70" s="85"/>
      <c r="FD70" s="85"/>
      <c r="FE70" s="85"/>
      <c r="FF70" s="85"/>
      <c r="FG70" s="85"/>
      <c r="FH70" s="85"/>
      <c r="FI70" s="85"/>
      <c r="FJ70" s="85"/>
      <c r="FK70" s="85"/>
      <c r="FL70" s="85"/>
      <c r="FM70" s="85"/>
      <c r="FN70" s="85"/>
      <c r="FO70" s="85"/>
      <c r="FP70" s="85"/>
      <c r="FQ70" s="85"/>
      <c r="FR70" s="85"/>
      <c r="FS70" s="85"/>
      <c r="FT70" s="85"/>
      <c r="FU70" s="85"/>
      <c r="FV70" s="85"/>
      <c r="FW70" s="85"/>
      <c r="FX70" s="85"/>
      <c r="FY70" s="85"/>
      <c r="FZ70" s="85"/>
      <c r="GA70" s="85"/>
      <c r="GB70" s="85"/>
      <c r="GC70" s="85"/>
    </row>
    <row r="71" spans="1:185" x14ac:dyDescent="0.35">
      <c r="A71" s="85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85"/>
      <c r="AZ71" s="85"/>
      <c r="BA71" s="85"/>
      <c r="BB71" s="85"/>
      <c r="BC71" s="85"/>
      <c r="BD71" s="85"/>
      <c r="BE71" s="85"/>
      <c r="BF71" s="85"/>
      <c r="BG71" s="85"/>
      <c r="BH71" s="85"/>
      <c r="BI71" s="85"/>
      <c r="BJ71" s="85"/>
      <c r="BK71" s="85"/>
      <c r="BL71" s="85"/>
      <c r="BM71" s="85"/>
      <c r="BN71" s="85"/>
      <c r="BO71" s="85"/>
      <c r="BP71" s="85"/>
      <c r="BQ71" s="85"/>
      <c r="BR71" s="85"/>
      <c r="BS71" s="85"/>
      <c r="BT71" s="85"/>
      <c r="BU71" s="85"/>
      <c r="BV71" s="85"/>
      <c r="BW71" s="85"/>
      <c r="BX71" s="85"/>
      <c r="BY71" s="85"/>
      <c r="BZ71" s="85"/>
      <c r="CA71" s="85"/>
      <c r="CB71" s="85"/>
      <c r="CC71" s="85"/>
      <c r="CD71" s="85"/>
      <c r="CE71" s="85"/>
      <c r="CF71" s="85"/>
      <c r="CG71" s="85"/>
      <c r="CH71" s="85"/>
      <c r="CI71" s="85"/>
      <c r="CJ71" s="85"/>
      <c r="CK71" s="85"/>
      <c r="CL71" s="85"/>
      <c r="CM71" s="85"/>
      <c r="CN71" s="85"/>
      <c r="CO71" s="85"/>
      <c r="CP71" s="85"/>
      <c r="CQ71" s="85"/>
      <c r="CR71" s="85"/>
      <c r="CS71" s="85"/>
      <c r="CT71" s="85"/>
      <c r="CU71" s="85"/>
      <c r="CV71" s="85"/>
      <c r="CW71" s="85"/>
      <c r="CX71" s="85"/>
      <c r="CY71" s="85"/>
      <c r="CZ71" s="85"/>
      <c r="DA71" s="85"/>
      <c r="DB71" s="85"/>
      <c r="DC71" s="85"/>
      <c r="DD71" s="85"/>
      <c r="DE71" s="85"/>
      <c r="DF71" s="85"/>
      <c r="DG71" s="85"/>
      <c r="DH71" s="85"/>
      <c r="DI71" s="85"/>
      <c r="DJ71" s="85"/>
      <c r="DK71" s="85"/>
      <c r="DL71" s="85"/>
      <c r="DM71" s="85"/>
      <c r="DN71" s="85"/>
      <c r="DO71" s="85"/>
      <c r="DP71" s="85"/>
      <c r="DQ71" s="85"/>
      <c r="DR71" s="85"/>
      <c r="DS71" s="85"/>
      <c r="DT71" s="85"/>
      <c r="DU71" s="85"/>
      <c r="DV71" s="85"/>
      <c r="DW71" s="85"/>
      <c r="DX71" s="85"/>
      <c r="DY71" s="85"/>
      <c r="DZ71" s="85"/>
      <c r="EA71" s="85"/>
      <c r="EB71" s="85"/>
      <c r="EC71" s="85"/>
      <c r="ED71" s="85"/>
      <c r="EE71" s="85"/>
      <c r="EF71" s="85"/>
      <c r="EG71" s="85"/>
      <c r="EH71" s="85"/>
      <c r="EI71" s="85"/>
      <c r="EJ71" s="85"/>
      <c r="EK71" s="85"/>
      <c r="EL71" s="85"/>
      <c r="EM71" s="85"/>
      <c r="EN71" s="85"/>
      <c r="EO71" s="85"/>
      <c r="EP71" s="85"/>
      <c r="EQ71" s="85"/>
      <c r="ER71" s="85"/>
      <c r="ES71" s="85"/>
      <c r="ET71" s="85"/>
      <c r="EU71" s="85"/>
      <c r="EV71" s="85"/>
      <c r="EW71" s="85"/>
      <c r="EX71" s="85"/>
      <c r="EY71" s="85"/>
      <c r="EZ71" s="85"/>
      <c r="FA71" s="85"/>
      <c r="FB71" s="85"/>
      <c r="FC71" s="85"/>
      <c r="FD71" s="85"/>
      <c r="FE71" s="85"/>
      <c r="FF71" s="85"/>
      <c r="FG71" s="85"/>
      <c r="FH71" s="85"/>
      <c r="FI71" s="85"/>
      <c r="FJ71" s="85"/>
      <c r="FK71" s="85"/>
      <c r="FL71" s="85"/>
      <c r="FM71" s="85"/>
      <c r="FN71" s="85"/>
      <c r="FO71" s="85"/>
      <c r="FP71" s="85"/>
      <c r="FQ71" s="85"/>
      <c r="FR71" s="85"/>
      <c r="FS71" s="85"/>
      <c r="FT71" s="85"/>
      <c r="FU71" s="85"/>
      <c r="FV71" s="85"/>
      <c r="FW71" s="85"/>
      <c r="FX71" s="85"/>
      <c r="FY71" s="85"/>
      <c r="FZ71" s="85"/>
      <c r="GA71" s="85"/>
      <c r="GB71" s="85"/>
      <c r="GC71" s="85"/>
    </row>
    <row r="72" spans="1:185" x14ac:dyDescent="0.35">
      <c r="A72" s="85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  <c r="AY72" s="85"/>
      <c r="AZ72" s="85"/>
      <c r="BA72" s="85"/>
      <c r="BB72" s="85"/>
      <c r="BC72" s="85"/>
      <c r="BD72" s="85"/>
      <c r="BE72" s="85"/>
      <c r="BF72" s="85"/>
      <c r="BG72" s="85"/>
      <c r="BH72" s="85"/>
      <c r="BI72" s="85"/>
      <c r="BJ72" s="85"/>
      <c r="BK72" s="85"/>
      <c r="BL72" s="85"/>
      <c r="BM72" s="85"/>
      <c r="BN72" s="85"/>
      <c r="BO72" s="85"/>
      <c r="BP72" s="85"/>
      <c r="BQ72" s="85"/>
      <c r="BR72" s="85"/>
      <c r="BS72" s="85"/>
      <c r="BT72" s="85"/>
      <c r="BU72" s="85"/>
      <c r="BV72" s="85"/>
      <c r="BW72" s="85"/>
      <c r="BX72" s="85"/>
      <c r="BY72" s="85"/>
      <c r="BZ72" s="85"/>
      <c r="CA72" s="85"/>
      <c r="CB72" s="85"/>
      <c r="CC72" s="85"/>
      <c r="CD72" s="85"/>
      <c r="CE72" s="85"/>
      <c r="CF72" s="85"/>
      <c r="CG72" s="85"/>
      <c r="CH72" s="85"/>
      <c r="CI72" s="85"/>
      <c r="CJ72" s="85"/>
      <c r="CK72" s="85"/>
      <c r="CL72" s="85"/>
      <c r="CM72" s="85"/>
      <c r="CN72" s="85"/>
      <c r="CO72" s="85"/>
      <c r="CP72" s="85"/>
      <c r="CQ72" s="85"/>
      <c r="CR72" s="85"/>
      <c r="CS72" s="85"/>
      <c r="CT72" s="85"/>
      <c r="CU72" s="85"/>
      <c r="CV72" s="85"/>
      <c r="CW72" s="85"/>
      <c r="CX72" s="85"/>
      <c r="CY72" s="85"/>
      <c r="CZ72" s="85"/>
      <c r="DA72" s="85"/>
      <c r="DB72" s="85"/>
      <c r="DC72" s="85"/>
      <c r="DD72" s="85"/>
      <c r="DE72" s="85"/>
      <c r="DF72" s="85"/>
      <c r="DG72" s="85"/>
      <c r="DH72" s="85"/>
      <c r="DI72" s="85"/>
      <c r="DJ72" s="85"/>
      <c r="DK72" s="85"/>
      <c r="DL72" s="85"/>
      <c r="DM72" s="85"/>
      <c r="DN72" s="85"/>
      <c r="DO72" s="85"/>
      <c r="DP72" s="85"/>
      <c r="DQ72" s="85"/>
      <c r="DR72" s="85"/>
      <c r="DS72" s="85"/>
      <c r="DT72" s="85"/>
      <c r="DU72" s="85"/>
      <c r="DV72" s="85"/>
      <c r="DW72" s="85"/>
      <c r="DX72" s="85"/>
      <c r="DY72" s="85"/>
      <c r="DZ72" s="85"/>
      <c r="EA72" s="85"/>
      <c r="EB72" s="85"/>
      <c r="EC72" s="85"/>
      <c r="ED72" s="85"/>
      <c r="EE72" s="85"/>
      <c r="EF72" s="85"/>
      <c r="EG72" s="85"/>
      <c r="EH72" s="85"/>
      <c r="EI72" s="85"/>
      <c r="EJ72" s="85"/>
      <c r="EK72" s="85"/>
      <c r="EL72" s="85"/>
      <c r="EM72" s="85"/>
      <c r="EN72" s="85"/>
      <c r="EO72" s="85"/>
      <c r="EP72" s="85"/>
      <c r="EQ72" s="85"/>
      <c r="ER72" s="85"/>
      <c r="ES72" s="85"/>
      <c r="ET72" s="85"/>
      <c r="EU72" s="85"/>
      <c r="EV72" s="85"/>
      <c r="EW72" s="85"/>
      <c r="EX72" s="85"/>
      <c r="EY72" s="85"/>
      <c r="EZ72" s="85"/>
      <c r="FA72" s="85"/>
      <c r="FB72" s="85"/>
      <c r="FC72" s="85"/>
      <c r="FD72" s="85"/>
      <c r="FE72" s="85"/>
      <c r="FF72" s="85"/>
      <c r="FG72" s="85"/>
      <c r="FH72" s="85"/>
      <c r="FI72" s="85"/>
      <c r="FJ72" s="85"/>
      <c r="FK72" s="85"/>
      <c r="FL72" s="85"/>
      <c r="FM72" s="85"/>
      <c r="FN72" s="85"/>
      <c r="FO72" s="85"/>
      <c r="FP72" s="85"/>
      <c r="FQ72" s="85"/>
      <c r="FR72" s="85"/>
      <c r="FS72" s="85"/>
      <c r="FT72" s="85"/>
      <c r="FU72" s="85"/>
      <c r="FV72" s="85"/>
      <c r="FW72" s="85"/>
      <c r="FX72" s="85"/>
      <c r="FY72" s="85"/>
      <c r="FZ72" s="85"/>
      <c r="GA72" s="85"/>
      <c r="GB72" s="85"/>
      <c r="GC72" s="85"/>
    </row>
    <row r="73" spans="1:185" x14ac:dyDescent="0.35">
      <c r="A73" s="85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85"/>
      <c r="AN73" s="85"/>
      <c r="AO73" s="85"/>
      <c r="AP73" s="85"/>
      <c r="AQ73" s="85"/>
      <c r="AR73" s="85"/>
      <c r="AS73" s="85"/>
      <c r="AT73" s="85"/>
      <c r="AU73" s="85"/>
      <c r="AV73" s="85"/>
      <c r="AW73" s="85"/>
      <c r="AX73" s="85"/>
      <c r="AY73" s="85"/>
      <c r="AZ73" s="85"/>
      <c r="BA73" s="85"/>
      <c r="BB73" s="85"/>
      <c r="BC73" s="85"/>
      <c r="BD73" s="85"/>
      <c r="BE73" s="85"/>
      <c r="BF73" s="85"/>
      <c r="BG73" s="85"/>
      <c r="BH73" s="85"/>
      <c r="BI73" s="85"/>
      <c r="BJ73" s="85"/>
      <c r="BK73" s="85"/>
      <c r="BL73" s="85"/>
      <c r="BM73" s="85"/>
      <c r="BN73" s="85"/>
      <c r="BO73" s="85"/>
      <c r="BP73" s="85"/>
      <c r="BQ73" s="85"/>
      <c r="BR73" s="85"/>
      <c r="BS73" s="85"/>
      <c r="BT73" s="85"/>
      <c r="BU73" s="85"/>
      <c r="BV73" s="85"/>
      <c r="BW73" s="85"/>
      <c r="BX73" s="85"/>
      <c r="BY73" s="85"/>
      <c r="BZ73" s="85"/>
      <c r="CA73" s="85"/>
      <c r="CB73" s="85"/>
      <c r="CC73" s="85"/>
      <c r="CD73" s="85"/>
      <c r="CE73" s="85"/>
      <c r="CF73" s="85"/>
      <c r="CG73" s="85"/>
      <c r="CH73" s="85"/>
      <c r="CI73" s="85"/>
      <c r="CJ73" s="85"/>
      <c r="CK73" s="85"/>
      <c r="CL73" s="85"/>
      <c r="CM73" s="85"/>
      <c r="CN73" s="85"/>
      <c r="CO73" s="85"/>
      <c r="CP73" s="85"/>
      <c r="CQ73" s="85"/>
      <c r="CR73" s="85"/>
      <c r="CS73" s="85"/>
      <c r="CT73" s="85"/>
      <c r="CU73" s="85"/>
      <c r="CV73" s="85"/>
      <c r="CW73" s="85"/>
      <c r="CX73" s="85"/>
      <c r="CY73" s="85"/>
      <c r="CZ73" s="85"/>
      <c r="DA73" s="85"/>
      <c r="DB73" s="85"/>
      <c r="DC73" s="85"/>
      <c r="DD73" s="85"/>
      <c r="DE73" s="85"/>
      <c r="DF73" s="85"/>
      <c r="DG73" s="85"/>
      <c r="DH73" s="85"/>
      <c r="DI73" s="85"/>
      <c r="DJ73" s="85"/>
      <c r="DK73" s="85"/>
      <c r="DL73" s="85"/>
      <c r="DM73" s="85"/>
      <c r="DN73" s="85"/>
      <c r="DO73" s="85"/>
      <c r="DP73" s="85"/>
      <c r="DQ73" s="85"/>
      <c r="DR73" s="85"/>
      <c r="DS73" s="85"/>
      <c r="DT73" s="85"/>
      <c r="DU73" s="85"/>
      <c r="DV73" s="85"/>
      <c r="DW73" s="85"/>
      <c r="DX73" s="85"/>
      <c r="DY73" s="85"/>
      <c r="DZ73" s="85"/>
      <c r="EA73" s="85"/>
      <c r="EB73" s="85"/>
      <c r="EC73" s="85"/>
      <c r="ED73" s="85"/>
      <c r="EE73" s="85"/>
      <c r="EF73" s="85"/>
      <c r="EG73" s="85"/>
      <c r="EH73" s="85"/>
      <c r="EI73" s="85"/>
      <c r="EJ73" s="85"/>
      <c r="EK73" s="85"/>
      <c r="EL73" s="85"/>
      <c r="EM73" s="85"/>
      <c r="EN73" s="85"/>
      <c r="EO73" s="85"/>
      <c r="EP73" s="85"/>
      <c r="EQ73" s="85"/>
      <c r="ER73" s="85"/>
      <c r="ES73" s="85"/>
      <c r="ET73" s="85"/>
      <c r="EU73" s="85"/>
      <c r="EV73" s="85"/>
      <c r="EW73" s="85"/>
      <c r="EX73" s="85"/>
      <c r="EY73" s="85"/>
      <c r="EZ73" s="85"/>
      <c r="FA73" s="85"/>
      <c r="FB73" s="85"/>
      <c r="FC73" s="85"/>
      <c r="FD73" s="85"/>
      <c r="FE73" s="85"/>
      <c r="FF73" s="85"/>
      <c r="FG73" s="85"/>
      <c r="FH73" s="85"/>
      <c r="FI73" s="85"/>
      <c r="FJ73" s="85"/>
      <c r="FK73" s="85"/>
      <c r="FL73" s="85"/>
      <c r="FM73" s="85"/>
      <c r="FN73" s="85"/>
      <c r="FO73" s="85"/>
      <c r="FP73" s="85"/>
      <c r="FQ73" s="85"/>
      <c r="FR73" s="85"/>
      <c r="FS73" s="85"/>
      <c r="FT73" s="85"/>
      <c r="FU73" s="85"/>
      <c r="FV73" s="85"/>
      <c r="FW73" s="85"/>
      <c r="FX73" s="85"/>
      <c r="FY73" s="85"/>
      <c r="FZ73" s="85"/>
      <c r="GA73" s="85"/>
      <c r="GB73" s="85"/>
      <c r="GC73" s="85"/>
    </row>
    <row r="74" spans="1:185" x14ac:dyDescent="0.35">
      <c r="A74" s="85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85"/>
      <c r="AN74" s="85"/>
      <c r="AO74" s="85"/>
      <c r="AP74" s="85"/>
      <c r="AQ74" s="85"/>
      <c r="AR74" s="85"/>
      <c r="AS74" s="85"/>
      <c r="AT74" s="85"/>
      <c r="AU74" s="85"/>
      <c r="AV74" s="85"/>
      <c r="AW74" s="85"/>
      <c r="AX74" s="85"/>
      <c r="AY74" s="85"/>
      <c r="AZ74" s="85"/>
      <c r="BA74" s="85"/>
      <c r="BB74" s="85"/>
      <c r="BC74" s="85"/>
      <c r="BD74" s="85"/>
      <c r="BE74" s="85"/>
      <c r="BF74" s="85"/>
      <c r="BG74" s="85"/>
      <c r="BH74" s="85"/>
      <c r="BI74" s="85"/>
      <c r="BJ74" s="85"/>
      <c r="BK74" s="85"/>
      <c r="BL74" s="85"/>
      <c r="BM74" s="85"/>
      <c r="BN74" s="85"/>
      <c r="BO74" s="85"/>
      <c r="BP74" s="85"/>
      <c r="BQ74" s="85"/>
      <c r="BR74" s="85"/>
      <c r="BS74" s="85"/>
      <c r="BT74" s="85"/>
      <c r="BU74" s="85"/>
      <c r="BV74" s="85"/>
      <c r="BW74" s="85"/>
      <c r="BX74" s="85"/>
      <c r="BY74" s="85"/>
      <c r="BZ74" s="85"/>
      <c r="CA74" s="85"/>
      <c r="CB74" s="85"/>
      <c r="CC74" s="85"/>
      <c r="CD74" s="85"/>
      <c r="CE74" s="85"/>
      <c r="CF74" s="85"/>
      <c r="CG74" s="85"/>
      <c r="CH74" s="85"/>
      <c r="CI74" s="85"/>
      <c r="CJ74" s="85"/>
      <c r="CK74" s="85"/>
      <c r="CL74" s="85"/>
      <c r="CM74" s="85"/>
      <c r="CN74" s="85"/>
      <c r="CO74" s="85"/>
      <c r="CP74" s="85"/>
      <c r="CQ74" s="85"/>
      <c r="CR74" s="85"/>
      <c r="CS74" s="85"/>
      <c r="CT74" s="85"/>
      <c r="CU74" s="85"/>
      <c r="CV74" s="85"/>
      <c r="CW74" s="85"/>
      <c r="CX74" s="85"/>
      <c r="CY74" s="85"/>
      <c r="CZ74" s="85"/>
      <c r="DA74" s="85"/>
      <c r="DB74" s="85"/>
      <c r="DC74" s="85"/>
      <c r="DD74" s="85"/>
      <c r="DE74" s="85"/>
      <c r="DF74" s="85"/>
      <c r="DG74" s="85"/>
      <c r="DH74" s="85"/>
      <c r="DI74" s="85"/>
      <c r="DJ74" s="85"/>
      <c r="DK74" s="85"/>
      <c r="DL74" s="85"/>
      <c r="DM74" s="85"/>
      <c r="DN74" s="85"/>
      <c r="DO74" s="85"/>
      <c r="DP74" s="85"/>
      <c r="DQ74" s="85"/>
      <c r="DR74" s="85"/>
      <c r="DS74" s="85"/>
      <c r="DT74" s="85"/>
      <c r="DU74" s="85"/>
      <c r="DV74" s="85"/>
      <c r="DW74" s="85"/>
      <c r="DX74" s="85"/>
      <c r="DY74" s="85"/>
      <c r="DZ74" s="85"/>
      <c r="EA74" s="85"/>
      <c r="EB74" s="85"/>
      <c r="EC74" s="85"/>
      <c r="ED74" s="85"/>
      <c r="EE74" s="85"/>
      <c r="EF74" s="85"/>
      <c r="EG74" s="85"/>
      <c r="EH74" s="85"/>
      <c r="EI74" s="85"/>
      <c r="EJ74" s="85"/>
      <c r="EK74" s="85"/>
      <c r="EL74" s="85"/>
      <c r="EM74" s="85"/>
      <c r="EN74" s="85"/>
      <c r="EO74" s="85"/>
      <c r="EP74" s="85"/>
      <c r="EQ74" s="85"/>
      <c r="ER74" s="85"/>
      <c r="ES74" s="85"/>
      <c r="ET74" s="85"/>
      <c r="EU74" s="85"/>
      <c r="EV74" s="85"/>
      <c r="EW74" s="85"/>
      <c r="EX74" s="85"/>
      <c r="EY74" s="85"/>
      <c r="EZ74" s="85"/>
      <c r="FA74" s="85"/>
      <c r="FB74" s="85"/>
      <c r="FC74" s="85"/>
      <c r="FD74" s="85"/>
      <c r="FE74" s="85"/>
      <c r="FF74" s="85"/>
      <c r="FG74" s="85"/>
      <c r="FH74" s="85"/>
      <c r="FI74" s="85"/>
      <c r="FJ74" s="85"/>
      <c r="FK74" s="85"/>
      <c r="FL74" s="85"/>
      <c r="FM74" s="85"/>
      <c r="FN74" s="85"/>
      <c r="FO74" s="85"/>
      <c r="FP74" s="85"/>
      <c r="FQ74" s="85"/>
      <c r="FR74" s="85"/>
      <c r="FS74" s="85"/>
      <c r="FT74" s="85"/>
      <c r="FU74" s="85"/>
      <c r="FV74" s="85"/>
      <c r="FW74" s="85"/>
      <c r="FX74" s="85"/>
      <c r="FY74" s="85"/>
      <c r="FZ74" s="85"/>
      <c r="GA74" s="85"/>
      <c r="GB74" s="85"/>
      <c r="GC74" s="85"/>
    </row>
    <row r="75" spans="1:185" x14ac:dyDescent="0.35">
      <c r="A75" s="85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A75" s="85"/>
      <c r="BB75" s="85"/>
      <c r="BC75" s="85"/>
      <c r="BD75" s="85"/>
      <c r="BE75" s="85"/>
      <c r="BF75" s="85"/>
      <c r="BG75" s="85"/>
      <c r="BH75" s="85"/>
      <c r="BI75" s="85"/>
      <c r="BJ75" s="85"/>
      <c r="BK75" s="85"/>
      <c r="BL75" s="85"/>
      <c r="BM75" s="85"/>
      <c r="BN75" s="85"/>
      <c r="BO75" s="85"/>
      <c r="BP75" s="85"/>
      <c r="BQ75" s="85"/>
      <c r="BR75" s="85"/>
      <c r="BS75" s="85"/>
      <c r="BT75" s="85"/>
      <c r="BU75" s="85"/>
      <c r="BV75" s="85"/>
      <c r="BW75" s="85"/>
      <c r="BX75" s="85"/>
      <c r="BY75" s="85"/>
      <c r="BZ75" s="85"/>
      <c r="CA75" s="85"/>
      <c r="CB75" s="85"/>
      <c r="CC75" s="85"/>
      <c r="CD75" s="85"/>
      <c r="CE75" s="85"/>
      <c r="CF75" s="85"/>
      <c r="CG75" s="85"/>
      <c r="CH75" s="85"/>
      <c r="CI75" s="85"/>
      <c r="CJ75" s="85"/>
      <c r="CK75" s="85"/>
      <c r="CL75" s="85"/>
      <c r="CM75" s="85"/>
      <c r="CN75" s="85"/>
      <c r="CO75" s="85"/>
      <c r="CP75" s="85"/>
      <c r="CQ75" s="85"/>
      <c r="CR75" s="85"/>
      <c r="CS75" s="85"/>
      <c r="CT75" s="85"/>
      <c r="CU75" s="85"/>
      <c r="CV75" s="85"/>
      <c r="CW75" s="85"/>
      <c r="CX75" s="85"/>
      <c r="CY75" s="85"/>
      <c r="CZ75" s="85"/>
      <c r="DA75" s="85"/>
      <c r="DB75" s="85"/>
      <c r="DC75" s="85"/>
      <c r="DD75" s="85"/>
      <c r="DE75" s="85"/>
      <c r="DF75" s="85"/>
      <c r="DG75" s="85"/>
      <c r="DH75" s="85"/>
      <c r="DI75" s="85"/>
      <c r="DJ75" s="85"/>
      <c r="DK75" s="85"/>
      <c r="DL75" s="85"/>
      <c r="DM75" s="85"/>
      <c r="DN75" s="85"/>
      <c r="DO75" s="85"/>
      <c r="DP75" s="85"/>
      <c r="DQ75" s="85"/>
      <c r="DR75" s="85"/>
      <c r="DS75" s="85"/>
      <c r="DT75" s="85"/>
      <c r="DU75" s="85"/>
      <c r="DV75" s="85"/>
      <c r="DW75" s="85"/>
      <c r="DX75" s="85"/>
      <c r="DY75" s="85"/>
      <c r="DZ75" s="85"/>
      <c r="EA75" s="85"/>
      <c r="EB75" s="85"/>
      <c r="EC75" s="85"/>
      <c r="ED75" s="85"/>
      <c r="EE75" s="85"/>
      <c r="EF75" s="85"/>
      <c r="EG75" s="85"/>
      <c r="EH75" s="85"/>
      <c r="EI75" s="85"/>
      <c r="EJ75" s="85"/>
      <c r="EK75" s="85"/>
      <c r="EL75" s="85"/>
      <c r="EM75" s="85"/>
      <c r="EN75" s="85"/>
      <c r="EO75" s="85"/>
      <c r="EP75" s="85"/>
      <c r="EQ75" s="85"/>
      <c r="ER75" s="85"/>
      <c r="ES75" s="85"/>
      <c r="ET75" s="85"/>
      <c r="EU75" s="85"/>
      <c r="EV75" s="85"/>
      <c r="EW75" s="85"/>
      <c r="EX75" s="85"/>
      <c r="EY75" s="85"/>
      <c r="EZ75" s="85"/>
      <c r="FA75" s="85"/>
      <c r="FB75" s="85"/>
      <c r="FC75" s="85"/>
      <c r="FD75" s="85"/>
      <c r="FE75" s="85"/>
      <c r="FF75" s="85"/>
      <c r="FG75" s="85"/>
      <c r="FH75" s="85"/>
      <c r="FI75" s="85"/>
      <c r="FJ75" s="85"/>
      <c r="FK75" s="85"/>
      <c r="FL75" s="85"/>
      <c r="FM75" s="85"/>
      <c r="FN75" s="85"/>
      <c r="FO75" s="85"/>
      <c r="FP75" s="85"/>
      <c r="FQ75" s="85"/>
      <c r="FR75" s="85"/>
      <c r="FS75" s="85"/>
      <c r="FT75" s="85"/>
      <c r="FU75" s="85"/>
      <c r="FV75" s="85"/>
      <c r="FW75" s="85"/>
      <c r="FX75" s="85"/>
      <c r="FY75" s="85"/>
      <c r="FZ75" s="85"/>
      <c r="GA75" s="85"/>
      <c r="GB75" s="85"/>
      <c r="GC75" s="85"/>
    </row>
    <row r="76" spans="1:185" x14ac:dyDescent="0.35">
      <c r="A76" s="85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AZ76" s="85"/>
      <c r="BA76" s="85"/>
      <c r="BB76" s="85"/>
      <c r="BC76" s="85"/>
      <c r="BD76" s="85"/>
      <c r="BE76" s="85"/>
      <c r="BF76" s="85"/>
      <c r="BG76" s="85"/>
      <c r="BH76" s="85"/>
      <c r="BI76" s="85"/>
      <c r="BJ76" s="85"/>
      <c r="BK76" s="85"/>
      <c r="BL76" s="85"/>
      <c r="BM76" s="85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85"/>
      <c r="CD76" s="85"/>
      <c r="CE76" s="85"/>
      <c r="CF76" s="85"/>
      <c r="CG76" s="85"/>
      <c r="CH76" s="85"/>
      <c r="CI76" s="85"/>
      <c r="CJ76" s="85"/>
      <c r="CK76" s="85"/>
      <c r="CL76" s="85"/>
      <c r="CM76" s="85"/>
      <c r="CN76" s="85"/>
      <c r="CO76" s="85"/>
      <c r="CP76" s="85"/>
      <c r="CQ76" s="85"/>
      <c r="CR76" s="85"/>
      <c r="CS76" s="85"/>
      <c r="CT76" s="85"/>
      <c r="CU76" s="85"/>
      <c r="CV76" s="85"/>
      <c r="CW76" s="85"/>
      <c r="CX76" s="85"/>
      <c r="CY76" s="85"/>
      <c r="CZ76" s="85"/>
      <c r="DA76" s="85"/>
      <c r="DB76" s="85"/>
      <c r="DC76" s="85"/>
      <c r="DD76" s="85"/>
      <c r="DE76" s="85"/>
      <c r="DF76" s="85"/>
      <c r="DG76" s="85"/>
      <c r="DH76" s="85"/>
      <c r="DI76" s="85"/>
      <c r="DJ76" s="85"/>
      <c r="DK76" s="85"/>
      <c r="DL76" s="85"/>
      <c r="DM76" s="85"/>
      <c r="DN76" s="85"/>
      <c r="DO76" s="85"/>
      <c r="DP76" s="85"/>
      <c r="DQ76" s="85"/>
      <c r="DR76" s="85"/>
      <c r="DS76" s="85"/>
      <c r="DT76" s="85"/>
      <c r="DU76" s="85"/>
      <c r="DV76" s="85"/>
      <c r="DW76" s="85"/>
      <c r="DX76" s="85"/>
      <c r="DY76" s="85"/>
      <c r="DZ76" s="85"/>
      <c r="EA76" s="85"/>
      <c r="EB76" s="85"/>
      <c r="EC76" s="85"/>
      <c r="ED76" s="85"/>
      <c r="EE76" s="85"/>
      <c r="EF76" s="85"/>
      <c r="EG76" s="85"/>
      <c r="EH76" s="85"/>
      <c r="EI76" s="85"/>
      <c r="EJ76" s="85"/>
      <c r="EK76" s="85"/>
      <c r="EL76" s="85"/>
      <c r="EM76" s="85"/>
      <c r="EN76" s="85"/>
      <c r="EO76" s="85"/>
      <c r="EP76" s="85"/>
      <c r="EQ76" s="85"/>
      <c r="ER76" s="85"/>
      <c r="ES76" s="85"/>
      <c r="ET76" s="85"/>
      <c r="EU76" s="85"/>
      <c r="EV76" s="85"/>
      <c r="EW76" s="85"/>
      <c r="EX76" s="85"/>
      <c r="EY76" s="85"/>
      <c r="EZ76" s="85"/>
      <c r="FA76" s="85"/>
      <c r="FB76" s="85"/>
      <c r="FC76" s="85"/>
      <c r="FD76" s="85"/>
      <c r="FE76" s="85"/>
      <c r="FF76" s="85"/>
      <c r="FG76" s="85"/>
      <c r="FH76" s="85"/>
      <c r="FI76" s="85"/>
      <c r="FJ76" s="85"/>
      <c r="FK76" s="85"/>
      <c r="FL76" s="85"/>
      <c r="FM76" s="85"/>
      <c r="FN76" s="85"/>
      <c r="FO76" s="85"/>
      <c r="FP76" s="85"/>
      <c r="FQ76" s="85"/>
      <c r="FR76" s="85"/>
      <c r="FS76" s="85"/>
      <c r="FT76" s="85"/>
      <c r="FU76" s="85"/>
      <c r="FV76" s="85"/>
      <c r="FW76" s="85"/>
      <c r="FX76" s="85"/>
      <c r="FY76" s="85"/>
      <c r="FZ76" s="85"/>
      <c r="GA76" s="85"/>
      <c r="GB76" s="85"/>
      <c r="GC76" s="85"/>
    </row>
    <row r="77" spans="1:185" x14ac:dyDescent="0.35">
      <c r="A77" s="85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AZ77" s="85"/>
      <c r="BA77" s="85"/>
      <c r="BB77" s="85"/>
      <c r="BC77" s="85"/>
      <c r="BD77" s="85"/>
      <c r="BE77" s="85"/>
      <c r="BF77" s="85"/>
      <c r="BG77" s="85"/>
      <c r="BH77" s="85"/>
      <c r="BI77" s="85"/>
      <c r="BJ77" s="85"/>
      <c r="BK77" s="85"/>
      <c r="BL77" s="85"/>
      <c r="BM77" s="85"/>
      <c r="BN77" s="85"/>
      <c r="BO77" s="85"/>
      <c r="BP77" s="85"/>
      <c r="BQ77" s="85"/>
      <c r="BR77" s="85"/>
      <c r="BS77" s="85"/>
      <c r="BT77" s="85"/>
      <c r="BU77" s="85"/>
      <c r="BV77" s="85"/>
      <c r="BW77" s="85"/>
      <c r="BX77" s="85"/>
      <c r="BY77" s="85"/>
      <c r="BZ77" s="85"/>
      <c r="CA77" s="85"/>
      <c r="CB77" s="85"/>
      <c r="CC77" s="85"/>
      <c r="CD77" s="85"/>
      <c r="CE77" s="85"/>
      <c r="CF77" s="85"/>
      <c r="CG77" s="85"/>
      <c r="CH77" s="85"/>
      <c r="CI77" s="85"/>
      <c r="CJ77" s="85"/>
      <c r="CK77" s="85"/>
      <c r="CL77" s="85"/>
      <c r="CM77" s="85"/>
      <c r="CN77" s="85"/>
      <c r="CO77" s="85"/>
      <c r="CP77" s="85"/>
      <c r="CQ77" s="85"/>
      <c r="CR77" s="85"/>
      <c r="CS77" s="85"/>
      <c r="CT77" s="85"/>
      <c r="CU77" s="85"/>
      <c r="CV77" s="85"/>
      <c r="CW77" s="85"/>
      <c r="CX77" s="85"/>
      <c r="CY77" s="85"/>
      <c r="CZ77" s="85"/>
      <c r="DA77" s="85"/>
      <c r="DB77" s="85"/>
      <c r="DC77" s="85"/>
      <c r="DD77" s="85"/>
      <c r="DE77" s="85"/>
      <c r="DF77" s="85"/>
      <c r="DG77" s="85"/>
      <c r="DH77" s="85"/>
      <c r="DI77" s="85"/>
      <c r="DJ77" s="85"/>
      <c r="DK77" s="85"/>
      <c r="DL77" s="85"/>
      <c r="DM77" s="85"/>
      <c r="DN77" s="85"/>
      <c r="DO77" s="85"/>
      <c r="DP77" s="85"/>
      <c r="DQ77" s="85"/>
      <c r="DR77" s="85"/>
      <c r="DS77" s="85"/>
      <c r="DT77" s="85"/>
      <c r="DU77" s="85"/>
      <c r="DV77" s="85"/>
      <c r="DW77" s="85"/>
      <c r="DX77" s="85"/>
      <c r="DY77" s="85"/>
      <c r="DZ77" s="85"/>
      <c r="EA77" s="85"/>
      <c r="EB77" s="85"/>
      <c r="EC77" s="85"/>
      <c r="ED77" s="85"/>
      <c r="EE77" s="85"/>
      <c r="EF77" s="85"/>
      <c r="EG77" s="85"/>
      <c r="EH77" s="85"/>
      <c r="EI77" s="85"/>
      <c r="EJ77" s="85"/>
      <c r="EK77" s="85"/>
      <c r="EL77" s="85"/>
      <c r="EM77" s="85"/>
      <c r="EN77" s="85"/>
      <c r="EO77" s="85"/>
      <c r="EP77" s="85"/>
      <c r="EQ77" s="85"/>
      <c r="ER77" s="85"/>
      <c r="ES77" s="85"/>
      <c r="ET77" s="85"/>
      <c r="EU77" s="85"/>
      <c r="EV77" s="85"/>
      <c r="EW77" s="85"/>
      <c r="EX77" s="85"/>
      <c r="EY77" s="85"/>
      <c r="EZ77" s="85"/>
      <c r="FA77" s="85"/>
      <c r="FB77" s="85"/>
      <c r="FC77" s="85"/>
      <c r="FD77" s="85"/>
      <c r="FE77" s="85"/>
      <c r="FF77" s="85"/>
      <c r="FG77" s="85"/>
      <c r="FH77" s="85"/>
      <c r="FI77" s="85"/>
      <c r="FJ77" s="85"/>
      <c r="FK77" s="85"/>
      <c r="FL77" s="85"/>
      <c r="FM77" s="85"/>
      <c r="FN77" s="85"/>
      <c r="FO77" s="85"/>
      <c r="FP77" s="85"/>
      <c r="FQ77" s="85"/>
      <c r="FR77" s="85"/>
      <c r="FS77" s="85"/>
      <c r="FT77" s="85"/>
      <c r="FU77" s="85"/>
      <c r="FV77" s="85"/>
      <c r="FW77" s="85"/>
      <c r="FX77" s="85"/>
      <c r="FY77" s="85"/>
      <c r="FZ77" s="85"/>
      <c r="GA77" s="85"/>
      <c r="GB77" s="85"/>
      <c r="GC77" s="85"/>
    </row>
    <row r="78" spans="1:185" x14ac:dyDescent="0.35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AZ78" s="85"/>
      <c r="BA78" s="85"/>
      <c r="BB78" s="85"/>
      <c r="BC78" s="85"/>
      <c r="BD78" s="85"/>
      <c r="BE78" s="85"/>
      <c r="BF78" s="85"/>
      <c r="BG78" s="85"/>
      <c r="BH78" s="85"/>
      <c r="BI78" s="85"/>
      <c r="BJ78" s="85"/>
      <c r="BK78" s="85"/>
      <c r="BL78" s="85"/>
      <c r="BM78" s="85"/>
      <c r="BN78" s="85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85"/>
      <c r="CT78" s="85"/>
      <c r="CU78" s="85"/>
      <c r="CV78" s="85"/>
      <c r="CW78" s="85"/>
      <c r="CX78" s="85"/>
      <c r="CY78" s="85"/>
      <c r="CZ78" s="85"/>
      <c r="DA78" s="85"/>
      <c r="DB78" s="85"/>
      <c r="DC78" s="85"/>
      <c r="DD78" s="85"/>
      <c r="DE78" s="85"/>
      <c r="DF78" s="85"/>
      <c r="DG78" s="85"/>
      <c r="DH78" s="85"/>
      <c r="DI78" s="85"/>
      <c r="DJ78" s="85"/>
      <c r="DK78" s="85"/>
      <c r="DL78" s="85"/>
      <c r="DM78" s="85"/>
      <c r="DN78" s="85"/>
      <c r="DO78" s="85"/>
      <c r="DP78" s="85"/>
      <c r="DQ78" s="85"/>
      <c r="DR78" s="85"/>
      <c r="DS78" s="85"/>
      <c r="DT78" s="85"/>
      <c r="DU78" s="85"/>
      <c r="DV78" s="85"/>
      <c r="DW78" s="85"/>
      <c r="DX78" s="85"/>
      <c r="DY78" s="85"/>
      <c r="DZ78" s="85"/>
      <c r="EA78" s="85"/>
      <c r="EB78" s="85"/>
      <c r="EC78" s="85"/>
      <c r="ED78" s="85"/>
      <c r="EE78" s="85"/>
      <c r="EF78" s="85"/>
      <c r="EG78" s="85"/>
      <c r="EH78" s="85"/>
      <c r="EI78" s="85"/>
      <c r="EJ78" s="85"/>
      <c r="EK78" s="85"/>
      <c r="EL78" s="85"/>
      <c r="EM78" s="85"/>
      <c r="EN78" s="85"/>
      <c r="EO78" s="85"/>
      <c r="EP78" s="85"/>
      <c r="EQ78" s="85"/>
      <c r="ER78" s="85"/>
      <c r="ES78" s="85"/>
      <c r="ET78" s="85"/>
      <c r="EU78" s="85"/>
      <c r="EV78" s="85"/>
      <c r="EW78" s="85"/>
      <c r="EX78" s="85"/>
      <c r="EY78" s="85"/>
      <c r="EZ78" s="85"/>
      <c r="FA78" s="85"/>
      <c r="FB78" s="85"/>
      <c r="FC78" s="85"/>
      <c r="FD78" s="85"/>
      <c r="FE78" s="85"/>
      <c r="FF78" s="85"/>
      <c r="FG78" s="85"/>
      <c r="FH78" s="85"/>
      <c r="FI78" s="85"/>
      <c r="FJ78" s="85"/>
      <c r="FK78" s="85"/>
      <c r="FL78" s="85"/>
      <c r="FM78" s="85"/>
      <c r="FN78" s="85"/>
      <c r="FO78" s="85"/>
      <c r="FP78" s="85"/>
      <c r="FQ78" s="85"/>
      <c r="FR78" s="85"/>
      <c r="FS78" s="85"/>
      <c r="FT78" s="85"/>
      <c r="FU78" s="85"/>
      <c r="FV78" s="85"/>
      <c r="FW78" s="85"/>
      <c r="FX78" s="85"/>
      <c r="FY78" s="85"/>
      <c r="FZ78" s="85"/>
      <c r="GA78" s="85"/>
      <c r="GB78" s="85"/>
      <c r="GC78" s="85"/>
    </row>
    <row r="79" spans="1:185" x14ac:dyDescent="0.35">
      <c r="A79" s="85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AZ79" s="85"/>
      <c r="BA79" s="85"/>
      <c r="BB79" s="85"/>
      <c r="BC79" s="85"/>
      <c r="BD79" s="85"/>
      <c r="BE79" s="85"/>
      <c r="BF79" s="85"/>
      <c r="BG79" s="85"/>
      <c r="BH79" s="85"/>
      <c r="BI79" s="85"/>
      <c r="BJ79" s="85"/>
      <c r="BK79" s="85"/>
      <c r="BL79" s="85"/>
      <c r="BM79" s="85"/>
      <c r="BN79" s="85"/>
      <c r="BO79" s="85"/>
      <c r="BP79" s="85"/>
      <c r="BQ79" s="85"/>
      <c r="BR79" s="85"/>
      <c r="BS79" s="85"/>
      <c r="BT79" s="85"/>
      <c r="BU79" s="85"/>
      <c r="BV79" s="85"/>
      <c r="BW79" s="85"/>
      <c r="BX79" s="85"/>
      <c r="BY79" s="85"/>
      <c r="BZ79" s="85"/>
      <c r="CA79" s="85"/>
      <c r="CB79" s="85"/>
      <c r="CC79" s="85"/>
      <c r="CD79" s="85"/>
      <c r="CE79" s="85"/>
      <c r="CF79" s="85"/>
      <c r="CG79" s="85"/>
      <c r="CH79" s="85"/>
      <c r="CI79" s="85"/>
      <c r="CJ79" s="85"/>
      <c r="CK79" s="85"/>
      <c r="CL79" s="85"/>
      <c r="CM79" s="85"/>
      <c r="CN79" s="85"/>
      <c r="CO79" s="85"/>
      <c r="CP79" s="85"/>
      <c r="CQ79" s="85"/>
      <c r="CR79" s="85"/>
      <c r="CS79" s="85"/>
      <c r="CT79" s="85"/>
      <c r="CU79" s="85"/>
      <c r="CV79" s="85"/>
      <c r="CW79" s="85"/>
      <c r="CX79" s="85"/>
      <c r="CY79" s="85"/>
      <c r="CZ79" s="85"/>
      <c r="DA79" s="85"/>
      <c r="DB79" s="85"/>
      <c r="DC79" s="85"/>
      <c r="DD79" s="85"/>
      <c r="DE79" s="85"/>
      <c r="DF79" s="85"/>
      <c r="DG79" s="85"/>
      <c r="DH79" s="85"/>
      <c r="DI79" s="85"/>
      <c r="DJ79" s="85"/>
      <c r="DK79" s="85"/>
      <c r="DL79" s="85"/>
      <c r="DM79" s="85"/>
      <c r="DN79" s="85"/>
      <c r="DO79" s="85"/>
      <c r="DP79" s="85"/>
      <c r="DQ79" s="85"/>
      <c r="DR79" s="85"/>
      <c r="DS79" s="85"/>
      <c r="DT79" s="85"/>
      <c r="DU79" s="85"/>
      <c r="DV79" s="85"/>
      <c r="DW79" s="85"/>
      <c r="DX79" s="85"/>
      <c r="DY79" s="85"/>
      <c r="DZ79" s="85"/>
      <c r="EA79" s="85"/>
      <c r="EB79" s="85"/>
      <c r="EC79" s="85"/>
      <c r="ED79" s="85"/>
      <c r="EE79" s="85"/>
      <c r="EF79" s="85"/>
      <c r="EG79" s="85"/>
      <c r="EH79" s="85"/>
      <c r="EI79" s="85"/>
      <c r="EJ79" s="85"/>
      <c r="EK79" s="85"/>
      <c r="EL79" s="85"/>
      <c r="EM79" s="85"/>
      <c r="EN79" s="85"/>
      <c r="EO79" s="85"/>
      <c r="EP79" s="85"/>
      <c r="EQ79" s="85"/>
      <c r="ER79" s="85"/>
      <c r="ES79" s="85"/>
      <c r="ET79" s="85"/>
      <c r="EU79" s="85"/>
      <c r="EV79" s="85"/>
      <c r="EW79" s="85"/>
      <c r="EX79" s="85"/>
      <c r="EY79" s="85"/>
      <c r="EZ79" s="85"/>
      <c r="FA79" s="85"/>
      <c r="FB79" s="85"/>
      <c r="FC79" s="85"/>
      <c r="FD79" s="85"/>
      <c r="FE79" s="85"/>
      <c r="FF79" s="85"/>
      <c r="FG79" s="85"/>
      <c r="FH79" s="85"/>
      <c r="FI79" s="85"/>
      <c r="FJ79" s="85"/>
      <c r="FK79" s="85"/>
      <c r="FL79" s="85"/>
      <c r="FM79" s="85"/>
      <c r="FN79" s="85"/>
      <c r="FO79" s="85"/>
      <c r="FP79" s="85"/>
      <c r="FQ79" s="85"/>
      <c r="FR79" s="85"/>
      <c r="FS79" s="85"/>
      <c r="FT79" s="85"/>
      <c r="FU79" s="85"/>
      <c r="FV79" s="85"/>
      <c r="FW79" s="85"/>
      <c r="FX79" s="85"/>
      <c r="FY79" s="85"/>
      <c r="FZ79" s="85"/>
      <c r="GA79" s="85"/>
      <c r="GB79" s="85"/>
      <c r="GC79" s="85"/>
    </row>
    <row r="80" spans="1:185" x14ac:dyDescent="0.35">
      <c r="A80" s="85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AZ80" s="85"/>
      <c r="BA80" s="85"/>
      <c r="BB80" s="85"/>
      <c r="BC80" s="85"/>
      <c r="BD80" s="85"/>
      <c r="BE80" s="85"/>
      <c r="BF80" s="85"/>
      <c r="BG80" s="85"/>
      <c r="BH80" s="85"/>
      <c r="BI80" s="85"/>
      <c r="BJ80" s="85"/>
      <c r="BK80" s="85"/>
      <c r="BL80" s="85"/>
      <c r="BM80" s="85"/>
      <c r="BN80" s="85"/>
      <c r="BO80" s="85"/>
      <c r="BP80" s="85"/>
      <c r="BQ80" s="85"/>
      <c r="BR80" s="85"/>
      <c r="BS80" s="85"/>
      <c r="BT80" s="85"/>
      <c r="BU80" s="85"/>
      <c r="BV80" s="85"/>
      <c r="BW80" s="85"/>
      <c r="BX80" s="85"/>
      <c r="BY80" s="85"/>
      <c r="BZ80" s="85"/>
      <c r="CA80" s="85"/>
      <c r="CB80" s="85"/>
      <c r="CC80" s="85"/>
      <c r="CD80" s="85"/>
      <c r="CE80" s="85"/>
      <c r="CF80" s="85"/>
      <c r="CG80" s="85"/>
      <c r="CH80" s="85"/>
      <c r="CI80" s="85"/>
      <c r="CJ80" s="85"/>
      <c r="CK80" s="85"/>
      <c r="CL80" s="85"/>
      <c r="CM80" s="85"/>
      <c r="CN80" s="85"/>
      <c r="CO80" s="85"/>
      <c r="CP80" s="85"/>
      <c r="CQ80" s="85"/>
      <c r="CR80" s="85"/>
      <c r="CS80" s="85"/>
      <c r="CT80" s="85"/>
      <c r="CU80" s="85"/>
      <c r="CV80" s="85"/>
      <c r="CW80" s="85"/>
      <c r="CX80" s="85"/>
      <c r="CY80" s="85"/>
      <c r="CZ80" s="85"/>
      <c r="DA80" s="85"/>
      <c r="DB80" s="85"/>
      <c r="DC80" s="85"/>
      <c r="DD80" s="85"/>
      <c r="DE80" s="85"/>
      <c r="DF80" s="85"/>
      <c r="DG80" s="85"/>
      <c r="DH80" s="85"/>
      <c r="DI80" s="85"/>
      <c r="DJ80" s="85"/>
      <c r="DK80" s="85"/>
      <c r="DL80" s="85"/>
      <c r="DM80" s="85"/>
      <c r="DN80" s="85"/>
      <c r="DO80" s="85"/>
      <c r="DP80" s="85"/>
      <c r="DQ80" s="85"/>
      <c r="DR80" s="85"/>
      <c r="DS80" s="85"/>
      <c r="DT80" s="85"/>
      <c r="DU80" s="85"/>
      <c r="DV80" s="85"/>
      <c r="DW80" s="85"/>
      <c r="DX80" s="85"/>
      <c r="DY80" s="85"/>
      <c r="DZ80" s="85"/>
      <c r="EA80" s="85"/>
      <c r="EB80" s="85"/>
      <c r="EC80" s="85"/>
      <c r="ED80" s="85"/>
      <c r="EE80" s="85"/>
      <c r="EF80" s="85"/>
      <c r="EG80" s="85"/>
      <c r="EH80" s="85"/>
      <c r="EI80" s="85"/>
      <c r="EJ80" s="85"/>
      <c r="EK80" s="85"/>
      <c r="EL80" s="85"/>
      <c r="EM80" s="85"/>
      <c r="EN80" s="85"/>
      <c r="EO80" s="85"/>
      <c r="EP80" s="85"/>
      <c r="EQ80" s="85"/>
      <c r="ER80" s="85"/>
      <c r="ES80" s="85"/>
      <c r="ET80" s="85"/>
      <c r="EU80" s="85"/>
      <c r="EV80" s="85"/>
      <c r="EW80" s="85"/>
      <c r="EX80" s="85"/>
      <c r="EY80" s="85"/>
      <c r="EZ80" s="85"/>
      <c r="FA80" s="85"/>
      <c r="FB80" s="85"/>
      <c r="FC80" s="85"/>
      <c r="FD80" s="85"/>
      <c r="FE80" s="85"/>
      <c r="FF80" s="85"/>
      <c r="FG80" s="85"/>
      <c r="FH80" s="85"/>
      <c r="FI80" s="85"/>
      <c r="FJ80" s="85"/>
      <c r="FK80" s="85"/>
      <c r="FL80" s="85"/>
      <c r="FM80" s="85"/>
      <c r="FN80" s="85"/>
      <c r="FO80" s="85"/>
      <c r="FP80" s="85"/>
      <c r="FQ80" s="85"/>
      <c r="FR80" s="85"/>
      <c r="FS80" s="85"/>
      <c r="FT80" s="85"/>
      <c r="FU80" s="85"/>
      <c r="FV80" s="85"/>
      <c r="FW80" s="85"/>
      <c r="FX80" s="85"/>
      <c r="FY80" s="85"/>
      <c r="FZ80" s="85"/>
      <c r="GA80" s="85"/>
      <c r="GB80" s="85"/>
      <c r="GC80" s="85"/>
    </row>
    <row r="81" spans="1:185" x14ac:dyDescent="0.3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5"/>
      <c r="AV81" s="85"/>
      <c r="AW81" s="85"/>
      <c r="AX81" s="85"/>
      <c r="AY81" s="85"/>
      <c r="AZ81" s="85"/>
      <c r="BA81" s="85"/>
      <c r="BB81" s="85"/>
      <c r="BC81" s="85"/>
      <c r="BD81" s="85"/>
      <c r="BE81" s="85"/>
      <c r="BF81" s="85"/>
      <c r="BG81" s="85"/>
      <c r="BH81" s="85"/>
      <c r="BI81" s="85"/>
      <c r="BJ81" s="85"/>
      <c r="BK81" s="85"/>
      <c r="BL81" s="85"/>
      <c r="BM81" s="85"/>
      <c r="BN81" s="85"/>
      <c r="BO81" s="85"/>
      <c r="BP81" s="85"/>
      <c r="BQ81" s="85"/>
      <c r="BR81" s="85"/>
      <c r="BS81" s="85"/>
      <c r="BT81" s="85"/>
      <c r="BU81" s="85"/>
      <c r="BV81" s="85"/>
      <c r="BW81" s="85"/>
      <c r="BX81" s="85"/>
      <c r="BY81" s="85"/>
      <c r="BZ81" s="85"/>
      <c r="CA81" s="85"/>
      <c r="CB81" s="85"/>
      <c r="CC81" s="85"/>
      <c r="CD81" s="85"/>
      <c r="CE81" s="85"/>
      <c r="CF81" s="85"/>
      <c r="CG81" s="85"/>
      <c r="CH81" s="85"/>
      <c r="CI81" s="85"/>
      <c r="CJ81" s="85"/>
      <c r="CK81" s="85"/>
      <c r="CL81" s="85"/>
      <c r="CM81" s="85"/>
      <c r="CN81" s="85"/>
      <c r="CO81" s="85"/>
      <c r="CP81" s="85"/>
      <c r="CQ81" s="85"/>
      <c r="CR81" s="85"/>
      <c r="CS81" s="85"/>
      <c r="CT81" s="85"/>
      <c r="CU81" s="85"/>
      <c r="CV81" s="85"/>
      <c r="CW81" s="85"/>
      <c r="CX81" s="85"/>
      <c r="CY81" s="85"/>
      <c r="CZ81" s="85"/>
      <c r="DA81" s="85"/>
      <c r="DB81" s="85"/>
      <c r="DC81" s="85"/>
      <c r="DD81" s="85"/>
      <c r="DE81" s="85"/>
      <c r="DF81" s="85"/>
      <c r="DG81" s="85"/>
      <c r="DH81" s="85"/>
      <c r="DI81" s="85"/>
      <c r="DJ81" s="85"/>
      <c r="DK81" s="85"/>
      <c r="DL81" s="85"/>
      <c r="DM81" s="85"/>
      <c r="DN81" s="85"/>
      <c r="DO81" s="85"/>
      <c r="DP81" s="85"/>
      <c r="DQ81" s="85"/>
      <c r="DR81" s="85"/>
      <c r="DS81" s="85"/>
      <c r="DT81" s="85"/>
      <c r="DU81" s="85"/>
      <c r="DV81" s="85"/>
      <c r="DW81" s="85"/>
      <c r="DX81" s="85"/>
      <c r="DY81" s="85"/>
      <c r="DZ81" s="85"/>
      <c r="EA81" s="85"/>
      <c r="EB81" s="85"/>
      <c r="EC81" s="85"/>
      <c r="ED81" s="85"/>
      <c r="EE81" s="85"/>
      <c r="EF81" s="85"/>
      <c r="EG81" s="85"/>
      <c r="EH81" s="85"/>
      <c r="EI81" s="85"/>
      <c r="EJ81" s="85"/>
      <c r="EK81" s="85"/>
      <c r="EL81" s="85"/>
      <c r="EM81" s="85"/>
      <c r="EN81" s="85"/>
      <c r="EO81" s="85"/>
      <c r="EP81" s="85"/>
      <c r="EQ81" s="85"/>
      <c r="ER81" s="85"/>
      <c r="ES81" s="85"/>
      <c r="ET81" s="85"/>
      <c r="EU81" s="85"/>
      <c r="EV81" s="85"/>
      <c r="EW81" s="85"/>
      <c r="EX81" s="85"/>
      <c r="EY81" s="85"/>
      <c r="EZ81" s="85"/>
      <c r="FA81" s="85"/>
      <c r="FB81" s="85"/>
      <c r="FC81" s="85"/>
      <c r="FD81" s="85"/>
      <c r="FE81" s="85"/>
      <c r="FF81" s="85"/>
      <c r="FG81" s="85"/>
      <c r="FH81" s="85"/>
      <c r="FI81" s="85"/>
      <c r="FJ81" s="85"/>
      <c r="FK81" s="85"/>
      <c r="FL81" s="85"/>
      <c r="FM81" s="85"/>
      <c r="FN81" s="85"/>
      <c r="FO81" s="85"/>
      <c r="FP81" s="85"/>
      <c r="FQ81" s="85"/>
      <c r="FR81" s="85"/>
      <c r="FS81" s="85"/>
      <c r="FT81" s="85"/>
      <c r="FU81" s="85"/>
      <c r="FV81" s="85"/>
      <c r="FW81" s="85"/>
      <c r="FX81" s="85"/>
      <c r="FY81" s="85"/>
      <c r="FZ81" s="85"/>
      <c r="GA81" s="85"/>
      <c r="GB81" s="85"/>
      <c r="GC81" s="85"/>
    </row>
    <row r="82" spans="1:185" x14ac:dyDescent="0.35">
      <c r="A82" s="85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5"/>
      <c r="AV82" s="85"/>
      <c r="AW82" s="85"/>
      <c r="AX82" s="85"/>
      <c r="AY82" s="85"/>
      <c r="AZ82" s="85"/>
      <c r="BA82" s="85"/>
      <c r="BB82" s="85"/>
      <c r="BC82" s="85"/>
      <c r="BD82" s="85"/>
      <c r="BE82" s="85"/>
      <c r="BF82" s="85"/>
      <c r="BG82" s="85"/>
      <c r="BH82" s="85"/>
      <c r="BI82" s="85"/>
      <c r="BJ82" s="85"/>
      <c r="BK82" s="85"/>
      <c r="BL82" s="85"/>
      <c r="BM82" s="85"/>
      <c r="BN82" s="85"/>
      <c r="BO82" s="85"/>
      <c r="BP82" s="85"/>
      <c r="BQ82" s="85"/>
      <c r="BR82" s="85"/>
      <c r="BS82" s="85"/>
      <c r="BT82" s="85"/>
      <c r="BU82" s="85"/>
      <c r="BV82" s="85"/>
      <c r="BW82" s="85"/>
      <c r="BX82" s="85"/>
      <c r="BY82" s="85"/>
      <c r="BZ82" s="85"/>
      <c r="CA82" s="85"/>
      <c r="CB82" s="85"/>
      <c r="CC82" s="85"/>
      <c r="CD82" s="85"/>
      <c r="CE82" s="85"/>
      <c r="CF82" s="85"/>
      <c r="CG82" s="85"/>
      <c r="CH82" s="85"/>
      <c r="CI82" s="85"/>
      <c r="CJ82" s="85"/>
      <c r="CK82" s="85"/>
      <c r="CL82" s="85"/>
      <c r="CM82" s="85"/>
      <c r="CN82" s="85"/>
      <c r="CO82" s="85"/>
      <c r="CP82" s="85"/>
      <c r="CQ82" s="85"/>
      <c r="CR82" s="85"/>
      <c r="CS82" s="85"/>
      <c r="CT82" s="85"/>
      <c r="CU82" s="85"/>
      <c r="CV82" s="85"/>
      <c r="CW82" s="85"/>
      <c r="CX82" s="85"/>
      <c r="CY82" s="85"/>
      <c r="CZ82" s="85"/>
      <c r="DA82" s="85"/>
      <c r="DB82" s="85"/>
      <c r="DC82" s="85"/>
      <c r="DD82" s="85"/>
      <c r="DE82" s="85"/>
      <c r="DF82" s="85"/>
      <c r="DG82" s="85"/>
      <c r="DH82" s="85"/>
      <c r="DI82" s="85"/>
      <c r="DJ82" s="85"/>
      <c r="DK82" s="85"/>
      <c r="DL82" s="85"/>
      <c r="DM82" s="85"/>
      <c r="DN82" s="85"/>
      <c r="DO82" s="85"/>
      <c r="DP82" s="85"/>
      <c r="DQ82" s="85"/>
      <c r="DR82" s="85"/>
      <c r="DS82" s="85"/>
      <c r="DT82" s="85"/>
      <c r="DU82" s="85"/>
      <c r="DV82" s="85"/>
      <c r="DW82" s="85"/>
      <c r="DX82" s="85"/>
      <c r="DY82" s="85"/>
      <c r="DZ82" s="85"/>
      <c r="EA82" s="85"/>
      <c r="EB82" s="85"/>
      <c r="EC82" s="85"/>
      <c r="ED82" s="85"/>
      <c r="EE82" s="85"/>
      <c r="EF82" s="85"/>
      <c r="EG82" s="85"/>
      <c r="EH82" s="85"/>
      <c r="EI82" s="85"/>
      <c r="EJ82" s="85"/>
      <c r="EK82" s="85"/>
      <c r="EL82" s="85"/>
      <c r="EM82" s="85"/>
      <c r="EN82" s="85"/>
      <c r="EO82" s="85"/>
      <c r="EP82" s="85"/>
      <c r="EQ82" s="85"/>
      <c r="ER82" s="85"/>
      <c r="ES82" s="85"/>
      <c r="ET82" s="85"/>
      <c r="EU82" s="85"/>
      <c r="EV82" s="85"/>
      <c r="EW82" s="85"/>
      <c r="EX82" s="85"/>
      <c r="EY82" s="85"/>
      <c r="EZ82" s="85"/>
      <c r="FA82" s="85"/>
      <c r="FB82" s="85"/>
      <c r="FC82" s="85"/>
      <c r="FD82" s="85"/>
      <c r="FE82" s="85"/>
      <c r="FF82" s="85"/>
      <c r="FG82" s="85"/>
      <c r="FH82" s="85"/>
      <c r="FI82" s="85"/>
      <c r="FJ82" s="85"/>
      <c r="FK82" s="85"/>
      <c r="FL82" s="85"/>
      <c r="FM82" s="85"/>
      <c r="FN82" s="85"/>
      <c r="FO82" s="85"/>
      <c r="FP82" s="85"/>
      <c r="FQ82" s="85"/>
      <c r="FR82" s="85"/>
      <c r="FS82" s="85"/>
      <c r="FT82" s="85"/>
      <c r="FU82" s="85"/>
      <c r="FV82" s="85"/>
      <c r="FW82" s="85"/>
      <c r="FX82" s="85"/>
      <c r="FY82" s="85"/>
      <c r="FZ82" s="85"/>
      <c r="GA82" s="85"/>
      <c r="GB82" s="85"/>
      <c r="GC82" s="85"/>
    </row>
    <row r="83" spans="1:185" x14ac:dyDescent="0.35">
      <c r="A83" s="85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5"/>
      <c r="AV83" s="85"/>
      <c r="AW83" s="85"/>
      <c r="AX83" s="85"/>
      <c r="AY83" s="85"/>
      <c r="AZ83" s="85"/>
      <c r="BA83" s="85"/>
      <c r="BB83" s="85"/>
      <c r="BC83" s="85"/>
      <c r="BD83" s="85"/>
      <c r="BE83" s="85"/>
      <c r="BF83" s="85"/>
      <c r="BG83" s="85"/>
      <c r="BH83" s="85"/>
      <c r="BI83" s="85"/>
      <c r="BJ83" s="85"/>
      <c r="BK83" s="85"/>
      <c r="BL83" s="85"/>
      <c r="BM83" s="85"/>
      <c r="BN83" s="85"/>
      <c r="BO83" s="85"/>
      <c r="BP83" s="85"/>
      <c r="BQ83" s="85"/>
      <c r="BR83" s="85"/>
      <c r="BS83" s="85"/>
      <c r="BT83" s="85"/>
      <c r="BU83" s="85"/>
      <c r="BV83" s="85"/>
      <c r="BW83" s="85"/>
      <c r="BX83" s="85"/>
      <c r="BY83" s="85"/>
      <c r="BZ83" s="85"/>
      <c r="CA83" s="85"/>
      <c r="CB83" s="85"/>
      <c r="CC83" s="85"/>
      <c r="CD83" s="85"/>
      <c r="CE83" s="85"/>
      <c r="CF83" s="85"/>
      <c r="CG83" s="85"/>
      <c r="CH83" s="85"/>
      <c r="CI83" s="85"/>
      <c r="CJ83" s="85"/>
      <c r="CK83" s="85"/>
      <c r="CL83" s="85"/>
      <c r="CM83" s="85"/>
      <c r="CN83" s="85"/>
      <c r="CO83" s="85"/>
      <c r="CP83" s="85"/>
      <c r="CQ83" s="85"/>
      <c r="CR83" s="85"/>
      <c r="CS83" s="85"/>
      <c r="CT83" s="85"/>
      <c r="CU83" s="85"/>
      <c r="CV83" s="85"/>
      <c r="CW83" s="85"/>
      <c r="CX83" s="85"/>
      <c r="CY83" s="85"/>
      <c r="CZ83" s="85"/>
      <c r="DA83" s="85"/>
      <c r="DB83" s="85"/>
      <c r="DC83" s="85"/>
      <c r="DD83" s="85"/>
      <c r="DE83" s="85"/>
      <c r="DF83" s="85"/>
      <c r="DG83" s="85"/>
      <c r="DH83" s="85"/>
      <c r="DI83" s="85"/>
      <c r="DJ83" s="85"/>
      <c r="DK83" s="85"/>
      <c r="DL83" s="85"/>
      <c r="DM83" s="85"/>
      <c r="DN83" s="85"/>
      <c r="DO83" s="85"/>
      <c r="DP83" s="85"/>
      <c r="DQ83" s="85"/>
      <c r="DR83" s="85"/>
      <c r="DS83" s="85"/>
      <c r="DT83" s="85"/>
      <c r="DU83" s="85"/>
      <c r="DV83" s="85"/>
      <c r="DW83" s="85"/>
      <c r="DX83" s="85"/>
      <c r="DY83" s="85"/>
      <c r="DZ83" s="85"/>
      <c r="EA83" s="85"/>
      <c r="EB83" s="85"/>
      <c r="EC83" s="85"/>
      <c r="ED83" s="85"/>
      <c r="EE83" s="85"/>
      <c r="EF83" s="85"/>
      <c r="EG83" s="85"/>
      <c r="EH83" s="85"/>
      <c r="EI83" s="85"/>
      <c r="EJ83" s="85"/>
      <c r="EK83" s="85"/>
      <c r="EL83" s="85"/>
      <c r="EM83" s="85"/>
      <c r="EN83" s="85"/>
      <c r="EO83" s="85"/>
      <c r="EP83" s="85"/>
      <c r="EQ83" s="85"/>
      <c r="ER83" s="85"/>
      <c r="ES83" s="85"/>
      <c r="ET83" s="85"/>
      <c r="EU83" s="85"/>
      <c r="EV83" s="85"/>
      <c r="EW83" s="85"/>
      <c r="EX83" s="85"/>
      <c r="EY83" s="85"/>
      <c r="EZ83" s="85"/>
      <c r="FA83" s="85"/>
      <c r="FB83" s="85"/>
      <c r="FC83" s="85"/>
      <c r="FD83" s="85"/>
      <c r="FE83" s="85"/>
      <c r="FF83" s="85"/>
      <c r="FG83" s="85"/>
      <c r="FH83" s="85"/>
      <c r="FI83" s="85"/>
      <c r="FJ83" s="85"/>
      <c r="FK83" s="85"/>
      <c r="FL83" s="85"/>
      <c r="FM83" s="85"/>
      <c r="FN83" s="85"/>
      <c r="FO83" s="85"/>
      <c r="FP83" s="85"/>
      <c r="FQ83" s="85"/>
      <c r="FR83" s="85"/>
      <c r="FS83" s="85"/>
      <c r="FT83" s="85"/>
      <c r="FU83" s="85"/>
      <c r="FV83" s="85"/>
      <c r="FW83" s="85"/>
      <c r="FX83" s="85"/>
      <c r="FY83" s="85"/>
      <c r="FZ83" s="85"/>
      <c r="GA83" s="85"/>
      <c r="GB83" s="85"/>
      <c r="GC83" s="85"/>
    </row>
    <row r="84" spans="1:185" x14ac:dyDescent="0.35">
      <c r="A84" s="85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5"/>
      <c r="AV84" s="85"/>
      <c r="AW84" s="85"/>
      <c r="AX84" s="85"/>
      <c r="AY84" s="85"/>
      <c r="AZ84" s="85"/>
      <c r="BA84" s="85"/>
      <c r="BB84" s="85"/>
      <c r="BC84" s="85"/>
      <c r="BD84" s="85"/>
      <c r="BE84" s="85"/>
      <c r="BF84" s="85"/>
      <c r="BG84" s="85"/>
      <c r="BH84" s="85"/>
      <c r="BI84" s="85"/>
      <c r="BJ84" s="85"/>
      <c r="BK84" s="85"/>
      <c r="BL84" s="85"/>
      <c r="BM84" s="85"/>
      <c r="BN84" s="85"/>
      <c r="BO84" s="85"/>
      <c r="BP84" s="85"/>
      <c r="BQ84" s="85"/>
      <c r="BR84" s="85"/>
      <c r="BS84" s="85"/>
      <c r="BT84" s="85"/>
      <c r="BU84" s="85"/>
      <c r="BV84" s="85"/>
      <c r="BW84" s="85"/>
      <c r="BX84" s="85"/>
      <c r="BY84" s="85"/>
      <c r="BZ84" s="85"/>
      <c r="CA84" s="85"/>
      <c r="CB84" s="85"/>
      <c r="CC84" s="85"/>
      <c r="CD84" s="85"/>
      <c r="CE84" s="85"/>
      <c r="CF84" s="85"/>
      <c r="CG84" s="85"/>
      <c r="CH84" s="85"/>
      <c r="CI84" s="85"/>
      <c r="CJ84" s="85"/>
      <c r="CK84" s="85"/>
      <c r="CL84" s="85"/>
      <c r="CM84" s="85"/>
      <c r="CN84" s="85"/>
      <c r="CO84" s="85"/>
      <c r="CP84" s="85"/>
      <c r="CQ84" s="85"/>
      <c r="CR84" s="85"/>
      <c r="CS84" s="85"/>
      <c r="CT84" s="85"/>
      <c r="CU84" s="85"/>
      <c r="CV84" s="85"/>
      <c r="CW84" s="85"/>
      <c r="CX84" s="85"/>
      <c r="CY84" s="85"/>
      <c r="CZ84" s="85"/>
      <c r="DA84" s="85"/>
      <c r="DB84" s="85"/>
      <c r="DC84" s="85"/>
      <c r="DD84" s="85"/>
      <c r="DE84" s="85"/>
      <c r="DF84" s="85"/>
      <c r="DG84" s="85"/>
      <c r="DH84" s="85"/>
      <c r="DI84" s="85"/>
      <c r="DJ84" s="85"/>
      <c r="DK84" s="85"/>
      <c r="DL84" s="85"/>
      <c r="DM84" s="85"/>
      <c r="DN84" s="85"/>
      <c r="DO84" s="85"/>
      <c r="DP84" s="85"/>
      <c r="DQ84" s="85"/>
      <c r="DR84" s="85"/>
      <c r="DS84" s="85"/>
      <c r="DT84" s="85"/>
      <c r="DU84" s="85"/>
      <c r="DV84" s="85"/>
      <c r="DW84" s="85"/>
      <c r="DX84" s="85"/>
      <c r="DY84" s="85"/>
      <c r="DZ84" s="85"/>
      <c r="EA84" s="85"/>
      <c r="EB84" s="85"/>
      <c r="EC84" s="85"/>
      <c r="ED84" s="85"/>
      <c r="EE84" s="85"/>
      <c r="EF84" s="85"/>
      <c r="EG84" s="85"/>
      <c r="EH84" s="85"/>
      <c r="EI84" s="85"/>
      <c r="EJ84" s="85"/>
      <c r="EK84" s="85"/>
      <c r="EL84" s="85"/>
      <c r="EM84" s="85"/>
      <c r="EN84" s="85"/>
      <c r="EO84" s="85"/>
      <c r="EP84" s="85"/>
      <c r="EQ84" s="85"/>
      <c r="ER84" s="85"/>
      <c r="ES84" s="85"/>
      <c r="ET84" s="85"/>
      <c r="EU84" s="85"/>
      <c r="EV84" s="85"/>
      <c r="EW84" s="85"/>
      <c r="EX84" s="85"/>
      <c r="EY84" s="85"/>
      <c r="EZ84" s="85"/>
      <c r="FA84" s="85"/>
      <c r="FB84" s="85"/>
      <c r="FC84" s="85"/>
      <c r="FD84" s="85"/>
      <c r="FE84" s="85"/>
      <c r="FF84" s="85"/>
      <c r="FG84" s="85"/>
      <c r="FH84" s="85"/>
      <c r="FI84" s="85"/>
      <c r="FJ84" s="85"/>
      <c r="FK84" s="85"/>
      <c r="FL84" s="85"/>
      <c r="FM84" s="85"/>
      <c r="FN84" s="85"/>
      <c r="FO84" s="85"/>
      <c r="FP84" s="85"/>
      <c r="FQ84" s="85"/>
      <c r="FR84" s="85"/>
      <c r="FS84" s="85"/>
      <c r="FT84" s="85"/>
      <c r="FU84" s="85"/>
      <c r="FV84" s="85"/>
      <c r="FW84" s="85"/>
      <c r="FX84" s="85"/>
      <c r="FY84" s="85"/>
      <c r="FZ84" s="85"/>
      <c r="GA84" s="85"/>
      <c r="GB84" s="85"/>
      <c r="GC84" s="85"/>
    </row>
    <row r="85" spans="1:185" x14ac:dyDescent="0.35">
      <c r="A85" s="85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5"/>
      <c r="AV85" s="85"/>
      <c r="AW85" s="85"/>
      <c r="AX85" s="85"/>
      <c r="AY85" s="85"/>
      <c r="AZ85" s="85"/>
      <c r="BA85" s="85"/>
      <c r="BB85" s="85"/>
      <c r="BC85" s="85"/>
      <c r="BD85" s="85"/>
      <c r="BE85" s="85"/>
      <c r="BF85" s="85"/>
      <c r="BG85" s="85"/>
      <c r="BH85" s="85"/>
      <c r="BI85" s="85"/>
      <c r="BJ85" s="85"/>
      <c r="BK85" s="85"/>
      <c r="BL85" s="85"/>
      <c r="BM85" s="85"/>
      <c r="BN85" s="85"/>
      <c r="BO85" s="85"/>
      <c r="BP85" s="85"/>
      <c r="BQ85" s="85"/>
      <c r="BR85" s="85"/>
      <c r="BS85" s="85"/>
      <c r="BT85" s="85"/>
      <c r="BU85" s="85"/>
      <c r="BV85" s="85"/>
      <c r="BW85" s="85"/>
      <c r="BX85" s="85"/>
      <c r="BY85" s="85"/>
      <c r="BZ85" s="85"/>
      <c r="CA85" s="85"/>
      <c r="CB85" s="85"/>
      <c r="CC85" s="85"/>
      <c r="CD85" s="85"/>
      <c r="CE85" s="85"/>
      <c r="CF85" s="85"/>
      <c r="CG85" s="85"/>
      <c r="CH85" s="85"/>
      <c r="CI85" s="85"/>
      <c r="CJ85" s="85"/>
      <c r="CK85" s="85"/>
      <c r="CL85" s="85"/>
      <c r="CM85" s="85"/>
      <c r="CN85" s="85"/>
      <c r="CO85" s="85"/>
      <c r="CP85" s="85"/>
      <c r="CQ85" s="85"/>
      <c r="CR85" s="85"/>
      <c r="CS85" s="85"/>
      <c r="CT85" s="85"/>
      <c r="CU85" s="85"/>
      <c r="CV85" s="85"/>
      <c r="CW85" s="85"/>
      <c r="CX85" s="85"/>
      <c r="CY85" s="85"/>
      <c r="CZ85" s="85"/>
      <c r="DA85" s="85"/>
      <c r="DB85" s="85"/>
      <c r="DC85" s="85"/>
      <c r="DD85" s="85"/>
      <c r="DE85" s="85"/>
      <c r="DF85" s="85"/>
      <c r="DG85" s="85"/>
      <c r="DH85" s="85"/>
      <c r="DI85" s="85"/>
      <c r="DJ85" s="85"/>
      <c r="DK85" s="85"/>
      <c r="DL85" s="85"/>
      <c r="DM85" s="85"/>
      <c r="DN85" s="85"/>
      <c r="DO85" s="85"/>
      <c r="DP85" s="85"/>
      <c r="DQ85" s="85"/>
      <c r="DR85" s="85"/>
      <c r="DS85" s="85"/>
      <c r="DT85" s="85"/>
      <c r="DU85" s="85"/>
      <c r="DV85" s="85"/>
      <c r="DW85" s="85"/>
      <c r="DX85" s="85"/>
      <c r="DY85" s="85"/>
      <c r="DZ85" s="85"/>
      <c r="EA85" s="85"/>
      <c r="EB85" s="85"/>
      <c r="EC85" s="85"/>
      <c r="ED85" s="85"/>
      <c r="EE85" s="85"/>
      <c r="EF85" s="85"/>
      <c r="EG85" s="85"/>
      <c r="EH85" s="85"/>
      <c r="EI85" s="85"/>
      <c r="EJ85" s="85"/>
      <c r="EK85" s="85"/>
      <c r="EL85" s="85"/>
      <c r="EM85" s="85"/>
      <c r="EN85" s="85"/>
      <c r="EO85" s="85"/>
      <c r="EP85" s="85"/>
      <c r="EQ85" s="85"/>
      <c r="ER85" s="85"/>
      <c r="ES85" s="85"/>
      <c r="ET85" s="85"/>
      <c r="EU85" s="85"/>
      <c r="EV85" s="85"/>
      <c r="EW85" s="85"/>
      <c r="EX85" s="85"/>
      <c r="EY85" s="85"/>
      <c r="EZ85" s="85"/>
      <c r="FA85" s="85"/>
      <c r="FB85" s="85"/>
      <c r="FC85" s="85"/>
      <c r="FD85" s="85"/>
      <c r="FE85" s="85"/>
      <c r="FF85" s="85"/>
      <c r="FG85" s="85"/>
      <c r="FH85" s="85"/>
      <c r="FI85" s="85"/>
      <c r="FJ85" s="85"/>
      <c r="FK85" s="85"/>
      <c r="FL85" s="85"/>
      <c r="FM85" s="85"/>
      <c r="FN85" s="85"/>
      <c r="FO85" s="85"/>
      <c r="FP85" s="85"/>
      <c r="FQ85" s="85"/>
      <c r="FR85" s="85"/>
      <c r="FS85" s="85"/>
      <c r="FT85" s="85"/>
      <c r="FU85" s="85"/>
      <c r="FV85" s="85"/>
      <c r="FW85" s="85"/>
      <c r="FX85" s="85"/>
      <c r="FY85" s="85"/>
      <c r="FZ85" s="85"/>
      <c r="GA85" s="85"/>
      <c r="GB85" s="85"/>
      <c r="GC85" s="85"/>
    </row>
    <row r="86" spans="1:185" x14ac:dyDescent="0.35">
      <c r="A86" s="85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5"/>
      <c r="AV86" s="85"/>
      <c r="AW86" s="85"/>
      <c r="AX86" s="85"/>
      <c r="AY86" s="85"/>
      <c r="AZ86" s="85"/>
      <c r="BA86" s="85"/>
      <c r="BB86" s="85"/>
      <c r="BC86" s="85"/>
      <c r="BD86" s="85"/>
      <c r="BE86" s="85"/>
      <c r="BF86" s="85"/>
      <c r="BG86" s="85"/>
      <c r="BH86" s="85"/>
      <c r="BI86" s="85"/>
      <c r="BJ86" s="85"/>
      <c r="BK86" s="85"/>
      <c r="BL86" s="85"/>
      <c r="BM86" s="85"/>
      <c r="BN86" s="85"/>
      <c r="BO86" s="85"/>
      <c r="BP86" s="85"/>
      <c r="BQ86" s="85"/>
      <c r="BR86" s="85"/>
      <c r="BS86" s="85"/>
      <c r="BT86" s="85"/>
      <c r="BU86" s="85"/>
      <c r="BV86" s="85"/>
      <c r="BW86" s="85"/>
      <c r="BX86" s="85"/>
      <c r="BY86" s="85"/>
      <c r="BZ86" s="85"/>
      <c r="CA86" s="85"/>
      <c r="CB86" s="85"/>
      <c r="CC86" s="85"/>
      <c r="CD86" s="85"/>
      <c r="CE86" s="85"/>
      <c r="CF86" s="85"/>
      <c r="CG86" s="85"/>
      <c r="CH86" s="85"/>
      <c r="CI86" s="85"/>
      <c r="CJ86" s="85"/>
      <c r="CK86" s="85"/>
      <c r="CL86" s="85"/>
      <c r="CM86" s="85"/>
      <c r="CN86" s="85"/>
      <c r="CO86" s="85"/>
      <c r="CP86" s="85"/>
      <c r="CQ86" s="85"/>
      <c r="CR86" s="85"/>
      <c r="CS86" s="85"/>
      <c r="CT86" s="85"/>
      <c r="CU86" s="85"/>
      <c r="CV86" s="85"/>
      <c r="CW86" s="85"/>
      <c r="CX86" s="85"/>
      <c r="CY86" s="85"/>
      <c r="CZ86" s="85"/>
      <c r="DA86" s="85"/>
      <c r="DB86" s="85"/>
      <c r="DC86" s="85"/>
      <c r="DD86" s="85"/>
      <c r="DE86" s="85"/>
      <c r="DF86" s="85"/>
      <c r="DG86" s="85"/>
      <c r="DH86" s="85"/>
      <c r="DI86" s="85"/>
      <c r="DJ86" s="85"/>
      <c r="DK86" s="85"/>
      <c r="DL86" s="85"/>
      <c r="DM86" s="85"/>
      <c r="DN86" s="85"/>
      <c r="DO86" s="85"/>
      <c r="DP86" s="85"/>
      <c r="DQ86" s="85"/>
      <c r="DR86" s="85"/>
      <c r="DS86" s="85"/>
      <c r="DT86" s="85"/>
      <c r="DU86" s="85"/>
      <c r="DV86" s="85"/>
      <c r="DW86" s="85"/>
      <c r="DX86" s="85"/>
      <c r="DY86" s="85"/>
      <c r="DZ86" s="85"/>
      <c r="EA86" s="85"/>
      <c r="EB86" s="85"/>
      <c r="EC86" s="85"/>
      <c r="ED86" s="85"/>
      <c r="EE86" s="85"/>
      <c r="EF86" s="85"/>
      <c r="EG86" s="85"/>
      <c r="EH86" s="85"/>
      <c r="EI86" s="85"/>
      <c r="EJ86" s="85"/>
      <c r="EK86" s="85"/>
      <c r="EL86" s="85"/>
      <c r="EM86" s="85"/>
      <c r="EN86" s="85"/>
      <c r="EO86" s="85"/>
      <c r="EP86" s="85"/>
      <c r="EQ86" s="85"/>
      <c r="ER86" s="85"/>
      <c r="ES86" s="85"/>
      <c r="ET86" s="85"/>
      <c r="EU86" s="85"/>
      <c r="EV86" s="85"/>
      <c r="EW86" s="85"/>
      <c r="EX86" s="85"/>
      <c r="EY86" s="85"/>
      <c r="EZ86" s="85"/>
      <c r="FA86" s="85"/>
      <c r="FB86" s="85"/>
      <c r="FC86" s="85"/>
      <c r="FD86" s="85"/>
      <c r="FE86" s="85"/>
      <c r="FF86" s="85"/>
      <c r="FG86" s="85"/>
      <c r="FH86" s="85"/>
      <c r="FI86" s="85"/>
      <c r="FJ86" s="85"/>
      <c r="FK86" s="85"/>
      <c r="FL86" s="85"/>
      <c r="FM86" s="85"/>
      <c r="FN86" s="85"/>
      <c r="FO86" s="85"/>
      <c r="FP86" s="85"/>
      <c r="FQ86" s="85"/>
      <c r="FR86" s="85"/>
      <c r="FS86" s="85"/>
      <c r="FT86" s="85"/>
      <c r="FU86" s="85"/>
      <c r="FV86" s="85"/>
      <c r="FW86" s="85"/>
      <c r="FX86" s="85"/>
      <c r="FY86" s="85"/>
      <c r="FZ86" s="85"/>
      <c r="GA86" s="85"/>
      <c r="GB86" s="85"/>
      <c r="GC86" s="85"/>
    </row>
    <row r="87" spans="1:185" x14ac:dyDescent="0.3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5"/>
      <c r="AV87" s="85"/>
      <c r="AW87" s="85"/>
      <c r="AX87" s="85"/>
      <c r="AY87" s="85"/>
      <c r="AZ87" s="85"/>
      <c r="BA87" s="85"/>
      <c r="BB87" s="85"/>
      <c r="BC87" s="85"/>
      <c r="BD87" s="85"/>
      <c r="BE87" s="85"/>
      <c r="BF87" s="85"/>
      <c r="BG87" s="85"/>
      <c r="BH87" s="85"/>
      <c r="BI87" s="85"/>
      <c r="BJ87" s="85"/>
      <c r="BK87" s="85"/>
      <c r="BL87" s="85"/>
      <c r="BM87" s="85"/>
      <c r="BN87" s="85"/>
      <c r="BO87" s="85"/>
      <c r="BP87" s="85"/>
      <c r="BQ87" s="85"/>
      <c r="BR87" s="85"/>
      <c r="BS87" s="85"/>
      <c r="BT87" s="85"/>
      <c r="BU87" s="85"/>
      <c r="BV87" s="85"/>
      <c r="BW87" s="85"/>
      <c r="BX87" s="85"/>
      <c r="BY87" s="85"/>
      <c r="BZ87" s="85"/>
      <c r="CA87" s="85"/>
      <c r="CB87" s="85"/>
      <c r="CC87" s="85"/>
      <c r="CD87" s="85"/>
      <c r="CE87" s="85"/>
      <c r="CF87" s="85"/>
      <c r="CG87" s="85"/>
      <c r="CH87" s="85"/>
      <c r="CI87" s="85"/>
      <c r="CJ87" s="85"/>
      <c r="CK87" s="85"/>
      <c r="CL87" s="85"/>
      <c r="CM87" s="85"/>
      <c r="CN87" s="85"/>
      <c r="CO87" s="85"/>
      <c r="CP87" s="85"/>
      <c r="CQ87" s="85"/>
      <c r="CR87" s="85"/>
      <c r="CS87" s="85"/>
      <c r="CT87" s="85"/>
      <c r="CU87" s="85"/>
      <c r="CV87" s="85"/>
      <c r="CW87" s="85"/>
      <c r="CX87" s="85"/>
      <c r="CY87" s="85"/>
      <c r="CZ87" s="85"/>
      <c r="DA87" s="85"/>
      <c r="DB87" s="85"/>
      <c r="DC87" s="85"/>
      <c r="DD87" s="85"/>
      <c r="DE87" s="85"/>
      <c r="DF87" s="85"/>
      <c r="DG87" s="85"/>
      <c r="DH87" s="85"/>
      <c r="DI87" s="85"/>
      <c r="DJ87" s="85"/>
      <c r="DK87" s="85"/>
      <c r="DL87" s="85"/>
      <c r="DM87" s="85"/>
      <c r="DN87" s="85"/>
      <c r="DO87" s="85"/>
      <c r="DP87" s="85"/>
      <c r="DQ87" s="85"/>
      <c r="DR87" s="85"/>
      <c r="DS87" s="85"/>
      <c r="DT87" s="85"/>
      <c r="DU87" s="85"/>
      <c r="DV87" s="85"/>
      <c r="DW87" s="85"/>
      <c r="DX87" s="85"/>
      <c r="DY87" s="85"/>
      <c r="DZ87" s="85"/>
      <c r="EA87" s="85"/>
      <c r="EB87" s="85"/>
      <c r="EC87" s="85"/>
      <c r="ED87" s="85"/>
      <c r="EE87" s="85"/>
      <c r="EF87" s="85"/>
      <c r="EG87" s="85"/>
      <c r="EH87" s="85"/>
      <c r="EI87" s="85"/>
      <c r="EJ87" s="85"/>
      <c r="EK87" s="85"/>
      <c r="EL87" s="85"/>
      <c r="EM87" s="85"/>
      <c r="EN87" s="85"/>
      <c r="EO87" s="85"/>
      <c r="EP87" s="85"/>
      <c r="EQ87" s="85"/>
      <c r="ER87" s="85"/>
      <c r="ES87" s="85"/>
      <c r="ET87" s="85"/>
      <c r="EU87" s="85"/>
      <c r="EV87" s="85"/>
      <c r="EW87" s="85"/>
      <c r="EX87" s="85"/>
      <c r="EY87" s="85"/>
      <c r="EZ87" s="85"/>
      <c r="FA87" s="85"/>
      <c r="FB87" s="85"/>
      <c r="FC87" s="85"/>
      <c r="FD87" s="85"/>
      <c r="FE87" s="85"/>
      <c r="FF87" s="85"/>
      <c r="FG87" s="85"/>
      <c r="FH87" s="85"/>
      <c r="FI87" s="85"/>
      <c r="FJ87" s="85"/>
      <c r="FK87" s="85"/>
      <c r="FL87" s="85"/>
      <c r="FM87" s="85"/>
      <c r="FN87" s="85"/>
      <c r="FO87" s="85"/>
      <c r="FP87" s="85"/>
      <c r="FQ87" s="85"/>
      <c r="FR87" s="85"/>
      <c r="FS87" s="85"/>
      <c r="FT87" s="85"/>
      <c r="FU87" s="85"/>
      <c r="FV87" s="85"/>
      <c r="FW87" s="85"/>
      <c r="FX87" s="85"/>
      <c r="FY87" s="85"/>
      <c r="FZ87" s="85"/>
      <c r="GA87" s="85"/>
      <c r="GB87" s="85"/>
      <c r="GC87" s="85"/>
    </row>
    <row r="88" spans="1:185" x14ac:dyDescent="0.35">
      <c r="A88" s="85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85"/>
      <c r="AN88" s="85"/>
      <c r="AO88" s="85"/>
      <c r="AP88" s="85"/>
      <c r="AQ88" s="85"/>
      <c r="AR88" s="85"/>
      <c r="AS88" s="85"/>
      <c r="AT88" s="85"/>
      <c r="AU88" s="85"/>
      <c r="AV88" s="85"/>
      <c r="AW88" s="85"/>
      <c r="AX88" s="85"/>
      <c r="AY88" s="85"/>
      <c r="AZ88" s="85"/>
      <c r="BA88" s="85"/>
      <c r="BB88" s="85"/>
      <c r="BC88" s="85"/>
      <c r="BD88" s="85"/>
      <c r="BE88" s="85"/>
      <c r="BF88" s="85"/>
      <c r="BG88" s="85"/>
      <c r="BH88" s="85"/>
      <c r="BI88" s="85"/>
      <c r="BJ88" s="85"/>
      <c r="BK88" s="85"/>
      <c r="BL88" s="85"/>
      <c r="BM88" s="85"/>
      <c r="BN88" s="85"/>
      <c r="BO88" s="85"/>
      <c r="BP88" s="85"/>
      <c r="BQ88" s="85"/>
      <c r="BR88" s="85"/>
      <c r="BS88" s="85"/>
      <c r="BT88" s="85"/>
      <c r="BU88" s="85"/>
      <c r="BV88" s="85"/>
      <c r="BW88" s="85"/>
      <c r="BX88" s="85"/>
      <c r="BY88" s="85"/>
      <c r="BZ88" s="85"/>
      <c r="CA88" s="85"/>
      <c r="CB88" s="85"/>
      <c r="CC88" s="85"/>
      <c r="CD88" s="85"/>
      <c r="CE88" s="85"/>
      <c r="CF88" s="85"/>
      <c r="CG88" s="85"/>
      <c r="CH88" s="85"/>
      <c r="CI88" s="85"/>
      <c r="CJ88" s="85"/>
      <c r="CK88" s="85"/>
      <c r="CL88" s="85"/>
      <c r="CM88" s="85"/>
      <c r="CN88" s="85"/>
      <c r="CO88" s="85"/>
      <c r="CP88" s="85"/>
      <c r="CQ88" s="85"/>
      <c r="CR88" s="85"/>
      <c r="CS88" s="85"/>
      <c r="CT88" s="85"/>
      <c r="CU88" s="85"/>
      <c r="CV88" s="85"/>
      <c r="CW88" s="85"/>
      <c r="CX88" s="85"/>
      <c r="CY88" s="85"/>
      <c r="CZ88" s="85"/>
      <c r="DA88" s="85"/>
      <c r="DB88" s="85"/>
      <c r="DC88" s="85"/>
      <c r="DD88" s="85"/>
      <c r="DE88" s="85"/>
      <c r="DF88" s="85"/>
      <c r="DG88" s="85"/>
      <c r="DH88" s="85"/>
      <c r="DI88" s="85"/>
      <c r="DJ88" s="85"/>
      <c r="DK88" s="85"/>
      <c r="DL88" s="85"/>
      <c r="DM88" s="85"/>
      <c r="DN88" s="85"/>
      <c r="DO88" s="85"/>
      <c r="DP88" s="85"/>
      <c r="DQ88" s="85"/>
      <c r="DR88" s="85"/>
      <c r="DS88" s="85"/>
      <c r="DT88" s="85"/>
      <c r="DU88" s="85"/>
      <c r="DV88" s="85"/>
      <c r="DW88" s="85"/>
      <c r="DX88" s="85"/>
      <c r="DY88" s="85"/>
      <c r="DZ88" s="85"/>
      <c r="EA88" s="85"/>
      <c r="EB88" s="85"/>
      <c r="EC88" s="85"/>
      <c r="ED88" s="85"/>
      <c r="EE88" s="85"/>
      <c r="EF88" s="85"/>
      <c r="EG88" s="85"/>
      <c r="EH88" s="85"/>
      <c r="EI88" s="85"/>
      <c r="EJ88" s="85"/>
      <c r="EK88" s="85"/>
      <c r="EL88" s="85"/>
      <c r="EM88" s="85"/>
      <c r="EN88" s="85"/>
      <c r="EO88" s="85"/>
      <c r="EP88" s="85"/>
      <c r="EQ88" s="85"/>
      <c r="ER88" s="85"/>
      <c r="ES88" s="85"/>
      <c r="ET88" s="85"/>
      <c r="EU88" s="85"/>
      <c r="EV88" s="85"/>
      <c r="EW88" s="85"/>
      <c r="EX88" s="85"/>
      <c r="EY88" s="85"/>
      <c r="EZ88" s="85"/>
      <c r="FA88" s="85"/>
      <c r="FB88" s="85"/>
      <c r="FC88" s="85"/>
      <c r="FD88" s="85"/>
      <c r="FE88" s="85"/>
      <c r="FF88" s="85"/>
      <c r="FG88" s="85"/>
      <c r="FH88" s="85"/>
      <c r="FI88" s="85"/>
      <c r="FJ88" s="85"/>
      <c r="FK88" s="85"/>
      <c r="FL88" s="85"/>
      <c r="FM88" s="85"/>
      <c r="FN88" s="85"/>
      <c r="FO88" s="85"/>
      <c r="FP88" s="85"/>
      <c r="FQ88" s="85"/>
      <c r="FR88" s="85"/>
      <c r="FS88" s="85"/>
      <c r="FT88" s="85"/>
      <c r="FU88" s="85"/>
      <c r="FV88" s="85"/>
      <c r="FW88" s="85"/>
      <c r="FX88" s="85"/>
      <c r="FY88" s="85"/>
      <c r="FZ88" s="85"/>
      <c r="GA88" s="85"/>
      <c r="GB88" s="85"/>
      <c r="GC88" s="85"/>
    </row>
    <row r="89" spans="1:185" x14ac:dyDescent="0.35">
      <c r="A89" s="85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5"/>
      <c r="AM89" s="85"/>
      <c r="AN89" s="85"/>
      <c r="AO89" s="85"/>
      <c r="AP89" s="85"/>
      <c r="AQ89" s="85"/>
      <c r="AR89" s="85"/>
      <c r="AS89" s="85"/>
      <c r="AT89" s="85"/>
      <c r="AU89" s="85"/>
      <c r="AV89" s="85"/>
      <c r="AW89" s="85"/>
      <c r="AX89" s="85"/>
      <c r="AY89" s="85"/>
      <c r="AZ89" s="85"/>
      <c r="BA89" s="85"/>
      <c r="BB89" s="85"/>
      <c r="BC89" s="85"/>
      <c r="BD89" s="85"/>
      <c r="BE89" s="85"/>
      <c r="BF89" s="85"/>
      <c r="BG89" s="85"/>
      <c r="BH89" s="85"/>
      <c r="BI89" s="85"/>
      <c r="BJ89" s="85"/>
      <c r="BK89" s="85"/>
      <c r="BL89" s="85"/>
      <c r="BM89" s="85"/>
      <c r="BN89" s="85"/>
      <c r="BO89" s="85"/>
      <c r="BP89" s="85"/>
      <c r="BQ89" s="85"/>
      <c r="BR89" s="85"/>
      <c r="BS89" s="85"/>
      <c r="BT89" s="85"/>
      <c r="BU89" s="85"/>
      <c r="BV89" s="85"/>
      <c r="BW89" s="85"/>
      <c r="BX89" s="85"/>
      <c r="BY89" s="85"/>
      <c r="BZ89" s="85"/>
      <c r="CA89" s="85"/>
      <c r="CB89" s="85"/>
      <c r="CC89" s="85"/>
      <c r="CD89" s="85"/>
      <c r="CE89" s="85"/>
      <c r="CF89" s="85"/>
      <c r="CG89" s="85"/>
      <c r="CH89" s="85"/>
      <c r="CI89" s="85"/>
      <c r="CJ89" s="85"/>
      <c r="CK89" s="85"/>
      <c r="CL89" s="85"/>
      <c r="CM89" s="85"/>
      <c r="CN89" s="85"/>
      <c r="CO89" s="85"/>
      <c r="CP89" s="85"/>
      <c r="CQ89" s="85"/>
      <c r="CR89" s="85"/>
      <c r="CS89" s="85"/>
      <c r="CT89" s="85"/>
      <c r="CU89" s="85"/>
      <c r="CV89" s="85"/>
      <c r="CW89" s="85"/>
      <c r="CX89" s="85"/>
      <c r="CY89" s="85"/>
      <c r="CZ89" s="85"/>
      <c r="DA89" s="85"/>
      <c r="DB89" s="85"/>
      <c r="DC89" s="85"/>
      <c r="DD89" s="85"/>
      <c r="DE89" s="85"/>
      <c r="DF89" s="85"/>
      <c r="DG89" s="85"/>
      <c r="DH89" s="85"/>
      <c r="DI89" s="85"/>
      <c r="DJ89" s="85"/>
      <c r="DK89" s="85"/>
      <c r="DL89" s="85"/>
      <c r="DM89" s="85"/>
      <c r="DN89" s="85"/>
      <c r="DO89" s="85"/>
      <c r="DP89" s="85"/>
      <c r="DQ89" s="85"/>
      <c r="DR89" s="85"/>
      <c r="DS89" s="85"/>
      <c r="DT89" s="85"/>
      <c r="DU89" s="85"/>
      <c r="DV89" s="85"/>
      <c r="DW89" s="85"/>
      <c r="DX89" s="85"/>
      <c r="DY89" s="85"/>
      <c r="DZ89" s="85"/>
      <c r="EA89" s="85"/>
      <c r="EB89" s="85"/>
      <c r="EC89" s="85"/>
      <c r="ED89" s="85"/>
      <c r="EE89" s="85"/>
      <c r="EF89" s="85"/>
      <c r="EG89" s="85"/>
      <c r="EH89" s="85"/>
      <c r="EI89" s="85"/>
      <c r="EJ89" s="85"/>
      <c r="EK89" s="85"/>
      <c r="EL89" s="85"/>
      <c r="EM89" s="85"/>
      <c r="EN89" s="85"/>
      <c r="EO89" s="85"/>
      <c r="EP89" s="85"/>
      <c r="EQ89" s="85"/>
      <c r="ER89" s="85"/>
      <c r="ES89" s="85"/>
      <c r="ET89" s="85"/>
      <c r="EU89" s="85"/>
      <c r="EV89" s="85"/>
      <c r="EW89" s="85"/>
      <c r="EX89" s="85"/>
      <c r="EY89" s="85"/>
      <c r="EZ89" s="85"/>
      <c r="FA89" s="85"/>
      <c r="FB89" s="85"/>
      <c r="FC89" s="85"/>
      <c r="FD89" s="85"/>
      <c r="FE89" s="85"/>
      <c r="FF89" s="85"/>
      <c r="FG89" s="85"/>
      <c r="FH89" s="85"/>
      <c r="FI89" s="85"/>
      <c r="FJ89" s="85"/>
      <c r="FK89" s="85"/>
      <c r="FL89" s="85"/>
      <c r="FM89" s="85"/>
      <c r="FN89" s="85"/>
      <c r="FO89" s="85"/>
      <c r="FP89" s="85"/>
      <c r="FQ89" s="85"/>
      <c r="FR89" s="85"/>
      <c r="FS89" s="85"/>
      <c r="FT89" s="85"/>
      <c r="FU89" s="85"/>
      <c r="FV89" s="85"/>
      <c r="FW89" s="85"/>
      <c r="FX89" s="85"/>
      <c r="FY89" s="85"/>
      <c r="FZ89" s="85"/>
      <c r="GA89" s="85"/>
      <c r="GB89" s="85"/>
      <c r="GC89" s="85"/>
    </row>
    <row r="90" spans="1:185" x14ac:dyDescent="0.35">
      <c r="A90" s="85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5"/>
      <c r="AM90" s="85"/>
      <c r="AN90" s="85"/>
      <c r="AO90" s="85"/>
      <c r="AP90" s="85"/>
      <c r="AQ90" s="85"/>
      <c r="AR90" s="85"/>
      <c r="AS90" s="85"/>
      <c r="AT90" s="85"/>
      <c r="AU90" s="85"/>
      <c r="AV90" s="85"/>
      <c r="AW90" s="85"/>
      <c r="AX90" s="85"/>
      <c r="AY90" s="85"/>
      <c r="AZ90" s="85"/>
      <c r="BA90" s="85"/>
      <c r="BB90" s="85"/>
      <c r="BC90" s="85"/>
      <c r="BD90" s="85"/>
      <c r="BE90" s="85"/>
      <c r="BF90" s="85"/>
      <c r="BG90" s="85"/>
      <c r="BH90" s="85"/>
      <c r="BI90" s="85"/>
      <c r="BJ90" s="85"/>
      <c r="BK90" s="85"/>
      <c r="BL90" s="85"/>
      <c r="BM90" s="85"/>
      <c r="BN90" s="85"/>
      <c r="BO90" s="85"/>
      <c r="BP90" s="85"/>
      <c r="BQ90" s="85"/>
      <c r="BR90" s="85"/>
      <c r="BS90" s="85"/>
      <c r="BT90" s="85"/>
      <c r="BU90" s="85"/>
      <c r="BV90" s="85"/>
      <c r="BW90" s="85"/>
      <c r="BX90" s="85"/>
      <c r="BY90" s="85"/>
      <c r="BZ90" s="85"/>
      <c r="CA90" s="85"/>
      <c r="CB90" s="85"/>
      <c r="CC90" s="85"/>
      <c r="CD90" s="85"/>
      <c r="CE90" s="85"/>
      <c r="CF90" s="85"/>
      <c r="CG90" s="85"/>
      <c r="CH90" s="85"/>
      <c r="CI90" s="85"/>
      <c r="CJ90" s="85"/>
      <c r="CK90" s="85"/>
      <c r="CL90" s="85"/>
      <c r="CM90" s="85"/>
      <c r="CN90" s="85"/>
      <c r="CO90" s="85"/>
      <c r="CP90" s="85"/>
      <c r="CQ90" s="85"/>
      <c r="CR90" s="85"/>
      <c r="CS90" s="85"/>
      <c r="CT90" s="85"/>
      <c r="CU90" s="85"/>
      <c r="CV90" s="85"/>
      <c r="CW90" s="85"/>
      <c r="CX90" s="85"/>
      <c r="CY90" s="85"/>
      <c r="CZ90" s="85"/>
      <c r="DA90" s="85"/>
      <c r="DB90" s="85"/>
      <c r="DC90" s="85"/>
      <c r="DD90" s="85"/>
      <c r="DE90" s="85"/>
      <c r="DF90" s="85"/>
      <c r="DG90" s="85"/>
      <c r="DH90" s="85"/>
      <c r="DI90" s="85"/>
      <c r="DJ90" s="85"/>
      <c r="DK90" s="85"/>
      <c r="DL90" s="85"/>
      <c r="DM90" s="85"/>
      <c r="DN90" s="85"/>
      <c r="DO90" s="85"/>
      <c r="DP90" s="85"/>
      <c r="DQ90" s="85"/>
      <c r="DR90" s="85"/>
      <c r="DS90" s="85"/>
      <c r="DT90" s="85"/>
      <c r="DU90" s="85"/>
      <c r="DV90" s="85"/>
      <c r="DW90" s="85"/>
      <c r="DX90" s="85"/>
      <c r="DY90" s="85"/>
      <c r="DZ90" s="85"/>
      <c r="EA90" s="85"/>
      <c r="EB90" s="85"/>
      <c r="EC90" s="85"/>
      <c r="ED90" s="85"/>
      <c r="EE90" s="85"/>
      <c r="EF90" s="85"/>
      <c r="EG90" s="85"/>
      <c r="EH90" s="85"/>
      <c r="EI90" s="85"/>
      <c r="EJ90" s="85"/>
      <c r="EK90" s="85"/>
      <c r="EL90" s="85"/>
      <c r="EM90" s="85"/>
      <c r="EN90" s="85"/>
      <c r="EO90" s="85"/>
      <c r="EP90" s="85"/>
      <c r="EQ90" s="85"/>
      <c r="ER90" s="85"/>
      <c r="ES90" s="85"/>
      <c r="ET90" s="85"/>
      <c r="EU90" s="85"/>
      <c r="EV90" s="85"/>
      <c r="EW90" s="85"/>
      <c r="EX90" s="85"/>
      <c r="EY90" s="85"/>
      <c r="EZ90" s="85"/>
      <c r="FA90" s="85"/>
      <c r="FB90" s="85"/>
      <c r="FC90" s="85"/>
      <c r="FD90" s="85"/>
      <c r="FE90" s="85"/>
      <c r="FF90" s="85"/>
      <c r="FG90" s="85"/>
      <c r="FH90" s="85"/>
      <c r="FI90" s="85"/>
      <c r="FJ90" s="85"/>
      <c r="FK90" s="85"/>
      <c r="FL90" s="85"/>
      <c r="FM90" s="85"/>
      <c r="FN90" s="85"/>
      <c r="FO90" s="85"/>
      <c r="FP90" s="85"/>
      <c r="FQ90" s="85"/>
      <c r="FR90" s="85"/>
      <c r="FS90" s="85"/>
      <c r="FT90" s="85"/>
      <c r="FU90" s="85"/>
      <c r="FV90" s="85"/>
      <c r="FW90" s="85"/>
      <c r="FX90" s="85"/>
      <c r="FY90" s="85"/>
      <c r="FZ90" s="85"/>
      <c r="GA90" s="85"/>
      <c r="GB90" s="85"/>
      <c r="GC90" s="85"/>
    </row>
    <row r="91" spans="1:185" x14ac:dyDescent="0.35">
      <c r="A91" s="85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5"/>
      <c r="AM91" s="85"/>
      <c r="AN91" s="85"/>
      <c r="AO91" s="85"/>
      <c r="AP91" s="85"/>
      <c r="AQ91" s="85"/>
      <c r="AR91" s="85"/>
      <c r="AS91" s="85"/>
      <c r="AT91" s="85"/>
      <c r="AU91" s="85"/>
      <c r="AV91" s="85"/>
      <c r="AW91" s="85"/>
      <c r="AX91" s="85"/>
      <c r="AY91" s="85"/>
      <c r="AZ91" s="85"/>
      <c r="BA91" s="85"/>
      <c r="BB91" s="85"/>
      <c r="BC91" s="85"/>
      <c r="BD91" s="85"/>
      <c r="BE91" s="85"/>
      <c r="BF91" s="85"/>
      <c r="BG91" s="85"/>
      <c r="BH91" s="85"/>
      <c r="BI91" s="85"/>
      <c r="BJ91" s="85"/>
      <c r="BK91" s="85"/>
      <c r="BL91" s="85"/>
      <c r="BM91" s="85"/>
      <c r="BN91" s="85"/>
      <c r="BO91" s="85"/>
      <c r="BP91" s="85"/>
      <c r="BQ91" s="85"/>
      <c r="BR91" s="85"/>
      <c r="BS91" s="85"/>
      <c r="BT91" s="85"/>
      <c r="BU91" s="85"/>
      <c r="BV91" s="85"/>
      <c r="BW91" s="85"/>
      <c r="BX91" s="85"/>
      <c r="BY91" s="85"/>
      <c r="BZ91" s="85"/>
      <c r="CA91" s="85"/>
      <c r="CB91" s="85"/>
      <c r="CC91" s="85"/>
      <c r="CD91" s="85"/>
      <c r="CE91" s="85"/>
      <c r="CF91" s="85"/>
      <c r="CG91" s="85"/>
      <c r="CH91" s="85"/>
      <c r="CI91" s="85"/>
      <c r="CJ91" s="85"/>
      <c r="CK91" s="85"/>
      <c r="CL91" s="85"/>
      <c r="CM91" s="85"/>
      <c r="CN91" s="85"/>
      <c r="CO91" s="85"/>
      <c r="CP91" s="85"/>
      <c r="CQ91" s="85"/>
      <c r="CR91" s="85"/>
      <c r="CS91" s="85"/>
      <c r="CT91" s="85"/>
      <c r="CU91" s="85"/>
      <c r="CV91" s="85"/>
      <c r="CW91" s="85"/>
      <c r="CX91" s="85"/>
      <c r="CY91" s="85"/>
      <c r="CZ91" s="85"/>
      <c r="DA91" s="85"/>
      <c r="DB91" s="85"/>
      <c r="DC91" s="85"/>
      <c r="DD91" s="85"/>
      <c r="DE91" s="85"/>
      <c r="DF91" s="85"/>
      <c r="DG91" s="85"/>
      <c r="DH91" s="85"/>
      <c r="DI91" s="85"/>
      <c r="DJ91" s="85"/>
      <c r="DK91" s="85"/>
      <c r="DL91" s="85"/>
      <c r="DM91" s="85"/>
      <c r="DN91" s="85"/>
      <c r="DO91" s="85"/>
      <c r="DP91" s="85"/>
      <c r="DQ91" s="85"/>
      <c r="DR91" s="85"/>
      <c r="DS91" s="85"/>
      <c r="DT91" s="85"/>
      <c r="DU91" s="85"/>
      <c r="DV91" s="85"/>
      <c r="DW91" s="85"/>
      <c r="DX91" s="85"/>
      <c r="DY91" s="85"/>
      <c r="DZ91" s="85"/>
      <c r="EA91" s="85"/>
      <c r="EB91" s="85"/>
      <c r="EC91" s="85"/>
      <c r="ED91" s="85"/>
      <c r="EE91" s="85"/>
      <c r="EF91" s="85"/>
      <c r="EG91" s="85"/>
      <c r="EH91" s="85"/>
      <c r="EI91" s="85"/>
      <c r="EJ91" s="85"/>
      <c r="EK91" s="85"/>
      <c r="EL91" s="85"/>
      <c r="EM91" s="85"/>
      <c r="EN91" s="85"/>
      <c r="EO91" s="85"/>
      <c r="EP91" s="85"/>
      <c r="EQ91" s="85"/>
      <c r="ER91" s="85"/>
      <c r="ES91" s="85"/>
      <c r="ET91" s="85"/>
      <c r="EU91" s="85"/>
      <c r="EV91" s="85"/>
      <c r="EW91" s="85"/>
      <c r="EX91" s="85"/>
      <c r="EY91" s="85"/>
      <c r="EZ91" s="85"/>
      <c r="FA91" s="85"/>
      <c r="FB91" s="85"/>
      <c r="FC91" s="85"/>
      <c r="FD91" s="85"/>
      <c r="FE91" s="85"/>
      <c r="FF91" s="85"/>
      <c r="FG91" s="85"/>
      <c r="FH91" s="85"/>
      <c r="FI91" s="85"/>
      <c r="FJ91" s="85"/>
      <c r="FK91" s="85"/>
      <c r="FL91" s="85"/>
      <c r="FM91" s="85"/>
      <c r="FN91" s="85"/>
      <c r="FO91" s="85"/>
      <c r="FP91" s="85"/>
      <c r="FQ91" s="85"/>
      <c r="FR91" s="85"/>
      <c r="FS91" s="85"/>
      <c r="FT91" s="85"/>
      <c r="FU91" s="85"/>
      <c r="FV91" s="85"/>
      <c r="FW91" s="85"/>
      <c r="FX91" s="85"/>
      <c r="FY91" s="85"/>
      <c r="FZ91" s="85"/>
      <c r="GA91" s="85"/>
      <c r="GB91" s="85"/>
      <c r="GC91" s="85"/>
    </row>
    <row r="92" spans="1:185" x14ac:dyDescent="0.35">
      <c r="A92" s="85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5"/>
      <c r="AM92" s="85"/>
      <c r="AN92" s="85"/>
      <c r="AO92" s="85"/>
      <c r="AP92" s="85"/>
      <c r="AQ92" s="85"/>
      <c r="AR92" s="85"/>
      <c r="AS92" s="85"/>
      <c r="AT92" s="85"/>
      <c r="AU92" s="85"/>
      <c r="AV92" s="85"/>
      <c r="AW92" s="85"/>
      <c r="AX92" s="85"/>
      <c r="AY92" s="85"/>
      <c r="AZ92" s="85"/>
      <c r="BA92" s="85"/>
      <c r="BB92" s="85"/>
      <c r="BC92" s="85"/>
      <c r="BD92" s="85"/>
      <c r="BE92" s="85"/>
      <c r="BF92" s="85"/>
      <c r="BG92" s="85"/>
      <c r="BH92" s="85"/>
      <c r="BI92" s="85"/>
      <c r="BJ92" s="85"/>
      <c r="BK92" s="85"/>
      <c r="BL92" s="85"/>
      <c r="BM92" s="85"/>
      <c r="BN92" s="85"/>
      <c r="BO92" s="85"/>
      <c r="BP92" s="85"/>
      <c r="BQ92" s="85"/>
      <c r="BR92" s="85"/>
      <c r="BS92" s="85"/>
      <c r="BT92" s="85"/>
      <c r="BU92" s="85"/>
      <c r="BV92" s="85"/>
      <c r="BW92" s="85"/>
      <c r="BX92" s="85"/>
      <c r="BY92" s="85"/>
      <c r="BZ92" s="85"/>
      <c r="CA92" s="85"/>
      <c r="CB92" s="85"/>
      <c r="CC92" s="85"/>
      <c r="CD92" s="85"/>
      <c r="CE92" s="85"/>
      <c r="CF92" s="85"/>
      <c r="CG92" s="85"/>
      <c r="CH92" s="85"/>
      <c r="CI92" s="85"/>
      <c r="CJ92" s="85"/>
      <c r="CK92" s="85"/>
      <c r="CL92" s="85"/>
      <c r="CM92" s="85"/>
      <c r="CN92" s="85"/>
      <c r="CO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  <c r="DF92" s="85"/>
      <c r="DG92" s="85"/>
      <c r="DH92" s="85"/>
      <c r="DI92" s="85"/>
      <c r="DJ92" s="85"/>
      <c r="DK92" s="85"/>
      <c r="DL92" s="85"/>
      <c r="DM92" s="85"/>
      <c r="DN92" s="85"/>
      <c r="DO92" s="85"/>
      <c r="DP92" s="85"/>
      <c r="DQ92" s="85"/>
      <c r="DR92" s="85"/>
      <c r="DS92" s="85"/>
      <c r="DT92" s="85"/>
      <c r="DU92" s="85"/>
      <c r="DV92" s="85"/>
      <c r="DW92" s="85"/>
      <c r="DX92" s="85"/>
      <c r="DY92" s="85"/>
      <c r="DZ92" s="85"/>
      <c r="EA92" s="85"/>
      <c r="EB92" s="85"/>
      <c r="EC92" s="85"/>
      <c r="ED92" s="85"/>
      <c r="EE92" s="85"/>
      <c r="EF92" s="85"/>
      <c r="EG92" s="85"/>
      <c r="EH92" s="85"/>
      <c r="EI92" s="85"/>
      <c r="EJ92" s="85"/>
      <c r="EK92" s="85"/>
      <c r="EL92" s="85"/>
      <c r="EM92" s="85"/>
      <c r="EN92" s="85"/>
      <c r="EO92" s="85"/>
      <c r="EP92" s="85"/>
      <c r="EQ92" s="85"/>
      <c r="ER92" s="85"/>
      <c r="ES92" s="85"/>
      <c r="ET92" s="85"/>
      <c r="EU92" s="85"/>
      <c r="EV92" s="85"/>
      <c r="EW92" s="85"/>
      <c r="EX92" s="85"/>
      <c r="EY92" s="85"/>
      <c r="EZ92" s="85"/>
      <c r="FA92" s="85"/>
      <c r="FB92" s="85"/>
      <c r="FC92" s="85"/>
      <c r="FD92" s="85"/>
      <c r="FE92" s="85"/>
      <c r="FF92" s="85"/>
      <c r="FG92" s="85"/>
      <c r="FH92" s="85"/>
      <c r="FI92" s="85"/>
      <c r="FJ92" s="85"/>
      <c r="FK92" s="85"/>
      <c r="FL92" s="85"/>
      <c r="FM92" s="85"/>
      <c r="FN92" s="85"/>
      <c r="FO92" s="85"/>
      <c r="FP92" s="85"/>
      <c r="FQ92" s="85"/>
      <c r="FR92" s="85"/>
      <c r="FS92" s="85"/>
      <c r="FT92" s="85"/>
      <c r="FU92" s="85"/>
      <c r="FV92" s="85"/>
      <c r="FW92" s="85"/>
      <c r="FX92" s="85"/>
      <c r="FY92" s="85"/>
      <c r="FZ92" s="85"/>
      <c r="GA92" s="85"/>
      <c r="GB92" s="85"/>
      <c r="GC92" s="85"/>
    </row>
    <row r="93" spans="1:185" x14ac:dyDescent="0.35">
      <c r="A93" s="85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5"/>
      <c r="AM93" s="85"/>
      <c r="AN93" s="85"/>
      <c r="AO93" s="85"/>
      <c r="AP93" s="85"/>
      <c r="AQ93" s="85"/>
      <c r="AR93" s="85"/>
      <c r="AS93" s="85"/>
      <c r="AT93" s="85"/>
      <c r="AU93" s="85"/>
      <c r="AV93" s="85"/>
      <c r="AW93" s="85"/>
      <c r="AX93" s="85"/>
      <c r="AY93" s="85"/>
      <c r="AZ93" s="85"/>
      <c r="BA93" s="85"/>
      <c r="BB93" s="85"/>
      <c r="BC93" s="85"/>
      <c r="BD93" s="85"/>
      <c r="BE93" s="85"/>
      <c r="BF93" s="85"/>
      <c r="BG93" s="85"/>
      <c r="BH93" s="85"/>
      <c r="BI93" s="85"/>
      <c r="BJ93" s="85"/>
      <c r="BK93" s="85"/>
      <c r="BL93" s="85"/>
      <c r="BM93" s="85"/>
      <c r="BN93" s="85"/>
      <c r="BO93" s="85"/>
      <c r="BP93" s="85"/>
      <c r="BQ93" s="85"/>
      <c r="BR93" s="85"/>
      <c r="BS93" s="85"/>
      <c r="BT93" s="85"/>
      <c r="BU93" s="85"/>
      <c r="BV93" s="85"/>
      <c r="BW93" s="85"/>
      <c r="BX93" s="85"/>
      <c r="BY93" s="85"/>
      <c r="BZ93" s="85"/>
      <c r="CA93" s="85"/>
      <c r="CB93" s="85"/>
      <c r="CC93" s="85"/>
      <c r="CD93" s="85"/>
      <c r="CE93" s="85"/>
      <c r="CF93" s="85"/>
      <c r="CG93" s="85"/>
      <c r="CH93" s="85"/>
      <c r="CI93" s="85"/>
      <c r="CJ93" s="85"/>
      <c r="CK93" s="85"/>
      <c r="CL93" s="85"/>
      <c r="CM93" s="85"/>
      <c r="CN93" s="85"/>
      <c r="CO93" s="85"/>
      <c r="CP93" s="85"/>
      <c r="CQ93" s="85"/>
      <c r="CR93" s="85"/>
      <c r="CS93" s="85"/>
      <c r="CT93" s="85"/>
      <c r="CU93" s="85"/>
      <c r="CV93" s="85"/>
      <c r="CW93" s="85"/>
      <c r="CX93" s="85"/>
      <c r="CY93" s="85"/>
      <c r="CZ93" s="85"/>
      <c r="DA93" s="85"/>
      <c r="DB93" s="85"/>
      <c r="DC93" s="85"/>
      <c r="DD93" s="85"/>
      <c r="DE93" s="85"/>
      <c r="DF93" s="85"/>
      <c r="DG93" s="85"/>
      <c r="DH93" s="85"/>
      <c r="DI93" s="85"/>
      <c r="DJ93" s="85"/>
      <c r="DK93" s="85"/>
      <c r="DL93" s="85"/>
      <c r="DM93" s="85"/>
      <c r="DN93" s="85"/>
      <c r="DO93" s="85"/>
      <c r="DP93" s="85"/>
      <c r="DQ93" s="85"/>
      <c r="DR93" s="85"/>
      <c r="DS93" s="85"/>
      <c r="DT93" s="85"/>
      <c r="DU93" s="85"/>
      <c r="DV93" s="85"/>
      <c r="DW93" s="85"/>
      <c r="DX93" s="85"/>
      <c r="DY93" s="85"/>
      <c r="DZ93" s="85"/>
      <c r="EA93" s="85"/>
      <c r="EB93" s="85"/>
      <c r="EC93" s="85"/>
      <c r="ED93" s="85"/>
      <c r="EE93" s="85"/>
      <c r="EF93" s="85"/>
      <c r="EG93" s="85"/>
      <c r="EH93" s="85"/>
      <c r="EI93" s="85"/>
      <c r="EJ93" s="85"/>
      <c r="EK93" s="85"/>
      <c r="EL93" s="85"/>
      <c r="EM93" s="85"/>
      <c r="EN93" s="85"/>
      <c r="EO93" s="85"/>
      <c r="EP93" s="85"/>
      <c r="EQ93" s="85"/>
      <c r="ER93" s="85"/>
      <c r="ES93" s="85"/>
      <c r="ET93" s="85"/>
      <c r="EU93" s="85"/>
      <c r="EV93" s="85"/>
      <c r="EW93" s="85"/>
      <c r="EX93" s="85"/>
      <c r="EY93" s="85"/>
      <c r="EZ93" s="85"/>
      <c r="FA93" s="85"/>
      <c r="FB93" s="85"/>
      <c r="FC93" s="85"/>
      <c r="FD93" s="85"/>
      <c r="FE93" s="85"/>
      <c r="FF93" s="85"/>
      <c r="FG93" s="85"/>
      <c r="FH93" s="85"/>
      <c r="FI93" s="85"/>
      <c r="FJ93" s="85"/>
      <c r="FK93" s="85"/>
      <c r="FL93" s="85"/>
      <c r="FM93" s="85"/>
      <c r="FN93" s="85"/>
      <c r="FO93" s="85"/>
      <c r="FP93" s="85"/>
      <c r="FQ93" s="85"/>
      <c r="FR93" s="85"/>
      <c r="FS93" s="85"/>
      <c r="FT93" s="85"/>
      <c r="FU93" s="85"/>
      <c r="FV93" s="85"/>
      <c r="FW93" s="85"/>
      <c r="FX93" s="85"/>
      <c r="FY93" s="85"/>
      <c r="FZ93" s="85"/>
      <c r="GA93" s="85"/>
      <c r="GB93" s="85"/>
      <c r="GC93" s="85"/>
    </row>
    <row r="94" spans="1:185" x14ac:dyDescent="0.35">
      <c r="A94" s="85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  <c r="AM94" s="85"/>
      <c r="AN94" s="85"/>
      <c r="AO94" s="85"/>
      <c r="AP94" s="85"/>
      <c r="AQ94" s="85"/>
      <c r="AR94" s="85"/>
      <c r="AS94" s="85"/>
      <c r="AT94" s="85"/>
      <c r="AU94" s="85"/>
      <c r="AV94" s="85"/>
      <c r="AW94" s="85"/>
      <c r="AX94" s="85"/>
      <c r="AY94" s="85"/>
      <c r="AZ94" s="85"/>
      <c r="BA94" s="85"/>
      <c r="BB94" s="85"/>
      <c r="BC94" s="85"/>
      <c r="BD94" s="85"/>
      <c r="BE94" s="85"/>
      <c r="BF94" s="85"/>
      <c r="BG94" s="85"/>
      <c r="BH94" s="85"/>
      <c r="BI94" s="85"/>
      <c r="BJ94" s="85"/>
      <c r="BK94" s="85"/>
      <c r="BL94" s="85"/>
      <c r="BM94" s="85"/>
      <c r="BN94" s="85"/>
      <c r="BO94" s="85"/>
      <c r="BP94" s="85"/>
      <c r="BQ94" s="85"/>
      <c r="BR94" s="85"/>
      <c r="BS94" s="85"/>
      <c r="BT94" s="85"/>
      <c r="BU94" s="85"/>
      <c r="BV94" s="85"/>
      <c r="BW94" s="85"/>
      <c r="BX94" s="85"/>
      <c r="BY94" s="85"/>
      <c r="BZ94" s="85"/>
      <c r="CA94" s="85"/>
      <c r="CB94" s="85"/>
      <c r="CC94" s="85"/>
      <c r="CD94" s="85"/>
      <c r="CE94" s="85"/>
      <c r="CF94" s="85"/>
      <c r="CG94" s="85"/>
      <c r="CH94" s="85"/>
      <c r="CI94" s="85"/>
      <c r="CJ94" s="85"/>
      <c r="CK94" s="85"/>
      <c r="CL94" s="85"/>
      <c r="CM94" s="85"/>
      <c r="CN94" s="85"/>
      <c r="CO94" s="85"/>
      <c r="CP94" s="85"/>
      <c r="CQ94" s="85"/>
      <c r="CR94" s="85"/>
      <c r="CS94" s="85"/>
      <c r="CT94" s="85"/>
      <c r="CU94" s="85"/>
      <c r="CV94" s="85"/>
      <c r="CW94" s="85"/>
      <c r="CX94" s="85"/>
      <c r="CY94" s="85"/>
      <c r="CZ94" s="85"/>
      <c r="DA94" s="85"/>
      <c r="DB94" s="85"/>
      <c r="DC94" s="85"/>
      <c r="DD94" s="85"/>
      <c r="DE94" s="85"/>
      <c r="DF94" s="85"/>
      <c r="DG94" s="85"/>
      <c r="DH94" s="85"/>
      <c r="DI94" s="85"/>
      <c r="DJ94" s="85"/>
      <c r="DK94" s="85"/>
      <c r="DL94" s="85"/>
      <c r="DM94" s="85"/>
      <c r="DN94" s="85"/>
      <c r="DO94" s="85"/>
      <c r="DP94" s="85"/>
      <c r="DQ94" s="85"/>
      <c r="DR94" s="85"/>
      <c r="DS94" s="85"/>
      <c r="DT94" s="85"/>
      <c r="DU94" s="85"/>
      <c r="DV94" s="85"/>
      <c r="DW94" s="85"/>
      <c r="DX94" s="85"/>
      <c r="DY94" s="85"/>
      <c r="DZ94" s="85"/>
      <c r="EA94" s="85"/>
      <c r="EB94" s="85"/>
      <c r="EC94" s="85"/>
      <c r="ED94" s="85"/>
      <c r="EE94" s="85"/>
      <c r="EF94" s="85"/>
      <c r="EG94" s="85"/>
      <c r="EH94" s="85"/>
      <c r="EI94" s="85"/>
      <c r="EJ94" s="85"/>
      <c r="EK94" s="85"/>
      <c r="EL94" s="85"/>
      <c r="EM94" s="85"/>
      <c r="EN94" s="85"/>
      <c r="EO94" s="85"/>
      <c r="EP94" s="85"/>
      <c r="EQ94" s="85"/>
      <c r="ER94" s="85"/>
      <c r="ES94" s="85"/>
      <c r="ET94" s="85"/>
      <c r="EU94" s="85"/>
      <c r="EV94" s="85"/>
      <c r="EW94" s="85"/>
      <c r="EX94" s="85"/>
      <c r="EY94" s="85"/>
      <c r="EZ94" s="85"/>
      <c r="FA94" s="85"/>
      <c r="FB94" s="85"/>
      <c r="FC94" s="85"/>
      <c r="FD94" s="85"/>
      <c r="FE94" s="85"/>
      <c r="FF94" s="85"/>
      <c r="FG94" s="85"/>
      <c r="FH94" s="85"/>
      <c r="FI94" s="85"/>
      <c r="FJ94" s="85"/>
      <c r="FK94" s="85"/>
      <c r="FL94" s="85"/>
      <c r="FM94" s="85"/>
      <c r="FN94" s="85"/>
      <c r="FO94" s="85"/>
      <c r="FP94" s="85"/>
      <c r="FQ94" s="85"/>
      <c r="FR94" s="85"/>
      <c r="FS94" s="85"/>
      <c r="FT94" s="85"/>
      <c r="FU94" s="85"/>
      <c r="FV94" s="85"/>
      <c r="FW94" s="85"/>
      <c r="FX94" s="85"/>
      <c r="FY94" s="85"/>
      <c r="FZ94" s="85"/>
      <c r="GA94" s="85"/>
      <c r="GB94" s="85"/>
      <c r="GC94" s="85"/>
    </row>
    <row r="95" spans="1:185" x14ac:dyDescent="0.35">
      <c r="A95" s="85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5"/>
      <c r="AM95" s="85"/>
      <c r="AN95" s="85"/>
      <c r="AO95" s="85"/>
      <c r="AP95" s="85"/>
      <c r="AQ95" s="85"/>
      <c r="AR95" s="85"/>
      <c r="AS95" s="85"/>
      <c r="AT95" s="85"/>
      <c r="AU95" s="85"/>
      <c r="AV95" s="85"/>
      <c r="AW95" s="85"/>
      <c r="AX95" s="85"/>
      <c r="AY95" s="85"/>
      <c r="AZ95" s="85"/>
      <c r="BA95" s="85"/>
      <c r="BB95" s="85"/>
      <c r="BC95" s="85"/>
      <c r="BD95" s="85"/>
      <c r="BE95" s="85"/>
      <c r="BF95" s="85"/>
      <c r="BG95" s="85"/>
      <c r="BH95" s="85"/>
      <c r="BI95" s="85"/>
      <c r="BJ95" s="85"/>
      <c r="BK95" s="85"/>
      <c r="BL95" s="85"/>
      <c r="BM95" s="85"/>
      <c r="BN95" s="85"/>
      <c r="BO95" s="85"/>
      <c r="BP95" s="85"/>
      <c r="BQ95" s="85"/>
      <c r="BR95" s="85"/>
      <c r="BS95" s="85"/>
      <c r="BT95" s="85"/>
      <c r="BU95" s="85"/>
      <c r="BV95" s="85"/>
      <c r="BW95" s="85"/>
      <c r="BX95" s="85"/>
      <c r="BY95" s="85"/>
      <c r="BZ95" s="85"/>
      <c r="CA95" s="85"/>
      <c r="CB95" s="85"/>
      <c r="CC95" s="85"/>
      <c r="CD95" s="85"/>
      <c r="CE95" s="85"/>
      <c r="CF95" s="85"/>
      <c r="CG95" s="85"/>
      <c r="CH95" s="85"/>
      <c r="CI95" s="85"/>
      <c r="CJ95" s="85"/>
      <c r="CK95" s="85"/>
      <c r="CL95" s="85"/>
      <c r="CM95" s="85"/>
      <c r="CN95" s="85"/>
      <c r="CO95" s="85"/>
      <c r="CP95" s="85"/>
      <c r="CQ95" s="85"/>
      <c r="CR95" s="85"/>
      <c r="CS95" s="85"/>
      <c r="CT95" s="85"/>
      <c r="CU95" s="85"/>
      <c r="CV95" s="85"/>
      <c r="CW95" s="85"/>
      <c r="CX95" s="85"/>
      <c r="CY95" s="85"/>
      <c r="CZ95" s="85"/>
      <c r="DA95" s="85"/>
      <c r="DB95" s="85"/>
      <c r="DC95" s="85"/>
      <c r="DD95" s="85"/>
      <c r="DE95" s="85"/>
      <c r="DF95" s="85"/>
      <c r="DG95" s="85"/>
      <c r="DH95" s="85"/>
      <c r="DI95" s="85"/>
      <c r="DJ95" s="85"/>
      <c r="DK95" s="85"/>
      <c r="DL95" s="85"/>
      <c r="DM95" s="85"/>
      <c r="DN95" s="85"/>
      <c r="DO95" s="85"/>
      <c r="DP95" s="85"/>
      <c r="DQ95" s="85"/>
      <c r="DR95" s="85"/>
      <c r="DS95" s="85"/>
      <c r="DT95" s="85"/>
      <c r="DU95" s="85"/>
      <c r="DV95" s="85"/>
      <c r="DW95" s="85"/>
      <c r="DX95" s="85"/>
      <c r="DY95" s="85"/>
      <c r="DZ95" s="85"/>
      <c r="EA95" s="85"/>
      <c r="EB95" s="85"/>
      <c r="EC95" s="85"/>
      <c r="ED95" s="85"/>
      <c r="EE95" s="85"/>
      <c r="EF95" s="85"/>
      <c r="EG95" s="85"/>
      <c r="EH95" s="85"/>
      <c r="EI95" s="85"/>
      <c r="EJ95" s="85"/>
      <c r="EK95" s="85"/>
      <c r="EL95" s="85"/>
      <c r="EM95" s="85"/>
      <c r="EN95" s="85"/>
      <c r="EO95" s="85"/>
      <c r="EP95" s="85"/>
      <c r="EQ95" s="85"/>
      <c r="ER95" s="85"/>
      <c r="ES95" s="85"/>
      <c r="ET95" s="85"/>
      <c r="EU95" s="85"/>
      <c r="EV95" s="85"/>
      <c r="EW95" s="85"/>
      <c r="EX95" s="85"/>
      <c r="EY95" s="85"/>
      <c r="EZ95" s="85"/>
      <c r="FA95" s="85"/>
      <c r="FB95" s="85"/>
      <c r="FC95" s="85"/>
      <c r="FD95" s="85"/>
      <c r="FE95" s="85"/>
      <c r="FF95" s="85"/>
      <c r="FG95" s="85"/>
      <c r="FH95" s="85"/>
      <c r="FI95" s="85"/>
      <c r="FJ95" s="85"/>
      <c r="FK95" s="85"/>
      <c r="FL95" s="85"/>
      <c r="FM95" s="85"/>
      <c r="FN95" s="85"/>
      <c r="FO95" s="85"/>
      <c r="FP95" s="85"/>
      <c r="FQ95" s="85"/>
      <c r="FR95" s="85"/>
      <c r="FS95" s="85"/>
      <c r="FT95" s="85"/>
      <c r="FU95" s="85"/>
      <c r="FV95" s="85"/>
      <c r="FW95" s="85"/>
      <c r="FX95" s="85"/>
      <c r="FY95" s="85"/>
      <c r="FZ95" s="85"/>
      <c r="GA95" s="85"/>
      <c r="GB95" s="85"/>
      <c r="GC95" s="85"/>
    </row>
    <row r="96" spans="1:185" x14ac:dyDescent="0.35">
      <c r="A96" s="85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  <c r="AM96" s="85"/>
      <c r="AN96" s="85"/>
      <c r="AO96" s="85"/>
      <c r="AP96" s="85"/>
      <c r="AQ96" s="85"/>
      <c r="AR96" s="85"/>
      <c r="AS96" s="85"/>
      <c r="AT96" s="85"/>
      <c r="AU96" s="85"/>
      <c r="AV96" s="85"/>
      <c r="AW96" s="85"/>
      <c r="AX96" s="85"/>
      <c r="AY96" s="85"/>
      <c r="AZ96" s="85"/>
      <c r="BA96" s="85"/>
      <c r="BB96" s="85"/>
      <c r="BC96" s="85"/>
      <c r="BD96" s="85"/>
      <c r="BE96" s="85"/>
      <c r="BF96" s="85"/>
      <c r="BG96" s="85"/>
      <c r="BH96" s="85"/>
      <c r="BI96" s="85"/>
      <c r="BJ96" s="85"/>
      <c r="BK96" s="85"/>
      <c r="BL96" s="85"/>
      <c r="BM96" s="85"/>
      <c r="BN96" s="85"/>
      <c r="BO96" s="85"/>
      <c r="BP96" s="85"/>
      <c r="BQ96" s="85"/>
      <c r="BR96" s="85"/>
      <c r="BS96" s="85"/>
      <c r="BT96" s="85"/>
      <c r="BU96" s="85"/>
      <c r="BV96" s="85"/>
      <c r="BW96" s="85"/>
      <c r="BX96" s="85"/>
      <c r="BY96" s="85"/>
      <c r="BZ96" s="85"/>
      <c r="CA96" s="85"/>
      <c r="CB96" s="85"/>
      <c r="CC96" s="85"/>
      <c r="CD96" s="85"/>
      <c r="CE96" s="85"/>
      <c r="CF96" s="85"/>
      <c r="CG96" s="85"/>
      <c r="CH96" s="85"/>
      <c r="CI96" s="85"/>
      <c r="CJ96" s="85"/>
      <c r="CK96" s="85"/>
      <c r="CL96" s="85"/>
      <c r="CM96" s="85"/>
      <c r="CN96" s="85"/>
      <c r="CO96" s="85"/>
      <c r="CP96" s="85"/>
      <c r="CQ96" s="85"/>
      <c r="CR96" s="85"/>
      <c r="CS96" s="85"/>
      <c r="CT96" s="85"/>
      <c r="CU96" s="85"/>
      <c r="CV96" s="85"/>
      <c r="CW96" s="85"/>
      <c r="CX96" s="85"/>
      <c r="CY96" s="85"/>
      <c r="CZ96" s="85"/>
      <c r="DA96" s="85"/>
      <c r="DB96" s="85"/>
      <c r="DC96" s="85"/>
      <c r="DD96" s="85"/>
      <c r="DE96" s="85"/>
      <c r="DF96" s="85"/>
      <c r="DG96" s="85"/>
      <c r="DH96" s="85"/>
      <c r="DI96" s="85"/>
      <c r="DJ96" s="85"/>
      <c r="DK96" s="85"/>
      <c r="DL96" s="85"/>
      <c r="DM96" s="85"/>
      <c r="DN96" s="85"/>
      <c r="DO96" s="85"/>
      <c r="DP96" s="85"/>
      <c r="DQ96" s="85"/>
      <c r="DR96" s="85"/>
      <c r="DS96" s="85"/>
      <c r="DT96" s="85"/>
      <c r="DU96" s="85"/>
      <c r="DV96" s="85"/>
      <c r="DW96" s="85"/>
      <c r="DX96" s="85"/>
      <c r="DY96" s="85"/>
      <c r="DZ96" s="85"/>
      <c r="EA96" s="85"/>
      <c r="EB96" s="85"/>
      <c r="EC96" s="85"/>
      <c r="ED96" s="85"/>
      <c r="EE96" s="85"/>
      <c r="EF96" s="85"/>
      <c r="EG96" s="85"/>
      <c r="EH96" s="85"/>
      <c r="EI96" s="85"/>
      <c r="EJ96" s="85"/>
      <c r="EK96" s="85"/>
      <c r="EL96" s="85"/>
      <c r="EM96" s="85"/>
      <c r="EN96" s="85"/>
      <c r="EO96" s="85"/>
      <c r="EP96" s="85"/>
      <c r="EQ96" s="85"/>
      <c r="ER96" s="85"/>
      <c r="ES96" s="85"/>
      <c r="ET96" s="85"/>
      <c r="EU96" s="85"/>
      <c r="EV96" s="85"/>
      <c r="EW96" s="85"/>
      <c r="EX96" s="85"/>
      <c r="EY96" s="85"/>
      <c r="EZ96" s="85"/>
      <c r="FA96" s="85"/>
      <c r="FB96" s="85"/>
      <c r="FC96" s="85"/>
      <c r="FD96" s="85"/>
      <c r="FE96" s="85"/>
      <c r="FF96" s="85"/>
      <c r="FG96" s="85"/>
      <c r="FH96" s="85"/>
      <c r="FI96" s="85"/>
      <c r="FJ96" s="85"/>
      <c r="FK96" s="85"/>
      <c r="FL96" s="85"/>
      <c r="FM96" s="85"/>
      <c r="FN96" s="85"/>
      <c r="FO96" s="85"/>
      <c r="FP96" s="85"/>
      <c r="FQ96" s="85"/>
      <c r="FR96" s="85"/>
      <c r="FS96" s="85"/>
      <c r="FT96" s="85"/>
      <c r="FU96" s="85"/>
      <c r="FV96" s="85"/>
      <c r="FW96" s="85"/>
      <c r="FX96" s="85"/>
      <c r="FY96" s="85"/>
      <c r="FZ96" s="85"/>
      <c r="GA96" s="85"/>
      <c r="GB96" s="85"/>
      <c r="GC96" s="85"/>
    </row>
    <row r="97" spans="1:185" x14ac:dyDescent="0.35">
      <c r="A97" s="85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5"/>
      <c r="AM97" s="85"/>
      <c r="AN97" s="85"/>
      <c r="AO97" s="85"/>
      <c r="AP97" s="85"/>
      <c r="AQ97" s="85"/>
      <c r="AR97" s="85"/>
      <c r="AS97" s="85"/>
      <c r="AT97" s="85"/>
      <c r="AU97" s="85"/>
      <c r="AV97" s="85"/>
      <c r="AW97" s="85"/>
      <c r="AX97" s="85"/>
      <c r="AY97" s="85"/>
      <c r="AZ97" s="85"/>
      <c r="BA97" s="85"/>
      <c r="BB97" s="85"/>
      <c r="BC97" s="85"/>
      <c r="BD97" s="85"/>
      <c r="BE97" s="85"/>
      <c r="BF97" s="85"/>
      <c r="BG97" s="85"/>
      <c r="BH97" s="85"/>
      <c r="BI97" s="85"/>
      <c r="BJ97" s="85"/>
      <c r="BK97" s="85"/>
      <c r="BL97" s="85"/>
      <c r="BM97" s="85"/>
      <c r="BN97" s="85"/>
      <c r="BO97" s="85"/>
      <c r="BP97" s="85"/>
      <c r="BQ97" s="85"/>
      <c r="BR97" s="85"/>
      <c r="BS97" s="85"/>
      <c r="BT97" s="85"/>
      <c r="BU97" s="85"/>
      <c r="BV97" s="85"/>
      <c r="BW97" s="85"/>
      <c r="BX97" s="85"/>
      <c r="BY97" s="85"/>
      <c r="BZ97" s="85"/>
      <c r="CA97" s="85"/>
      <c r="CB97" s="85"/>
      <c r="CC97" s="85"/>
      <c r="CD97" s="85"/>
      <c r="CE97" s="85"/>
      <c r="CF97" s="85"/>
      <c r="CG97" s="85"/>
      <c r="CH97" s="85"/>
      <c r="CI97" s="85"/>
      <c r="CJ97" s="85"/>
      <c r="CK97" s="85"/>
      <c r="CL97" s="85"/>
      <c r="CM97" s="85"/>
      <c r="CN97" s="85"/>
      <c r="CO97" s="85"/>
      <c r="CP97" s="85"/>
      <c r="CQ97" s="85"/>
      <c r="CR97" s="85"/>
      <c r="CS97" s="85"/>
      <c r="CT97" s="85"/>
      <c r="CU97" s="85"/>
      <c r="CV97" s="85"/>
      <c r="CW97" s="85"/>
      <c r="CX97" s="85"/>
      <c r="CY97" s="85"/>
      <c r="CZ97" s="85"/>
      <c r="DA97" s="85"/>
      <c r="DB97" s="85"/>
      <c r="DC97" s="85"/>
      <c r="DD97" s="85"/>
      <c r="DE97" s="85"/>
      <c r="DF97" s="85"/>
      <c r="DG97" s="85"/>
      <c r="DH97" s="85"/>
      <c r="DI97" s="85"/>
      <c r="DJ97" s="85"/>
      <c r="DK97" s="85"/>
      <c r="DL97" s="85"/>
      <c r="DM97" s="85"/>
      <c r="DN97" s="85"/>
      <c r="DO97" s="85"/>
      <c r="DP97" s="85"/>
      <c r="DQ97" s="85"/>
      <c r="DR97" s="85"/>
      <c r="DS97" s="85"/>
      <c r="DT97" s="85"/>
      <c r="DU97" s="85"/>
      <c r="DV97" s="85"/>
      <c r="DW97" s="85"/>
      <c r="DX97" s="85"/>
      <c r="DY97" s="85"/>
      <c r="DZ97" s="85"/>
      <c r="EA97" s="85"/>
      <c r="EB97" s="85"/>
      <c r="EC97" s="85"/>
      <c r="ED97" s="85"/>
      <c r="EE97" s="85"/>
      <c r="EF97" s="85"/>
      <c r="EG97" s="85"/>
      <c r="EH97" s="85"/>
      <c r="EI97" s="85"/>
      <c r="EJ97" s="85"/>
      <c r="EK97" s="85"/>
      <c r="EL97" s="85"/>
      <c r="EM97" s="85"/>
      <c r="EN97" s="85"/>
      <c r="EO97" s="85"/>
      <c r="EP97" s="85"/>
      <c r="EQ97" s="85"/>
      <c r="ER97" s="85"/>
      <c r="ES97" s="85"/>
      <c r="ET97" s="85"/>
      <c r="EU97" s="85"/>
      <c r="EV97" s="85"/>
      <c r="EW97" s="85"/>
      <c r="EX97" s="85"/>
      <c r="EY97" s="85"/>
      <c r="EZ97" s="85"/>
      <c r="FA97" s="85"/>
      <c r="FB97" s="85"/>
      <c r="FC97" s="85"/>
      <c r="FD97" s="85"/>
      <c r="FE97" s="85"/>
      <c r="FF97" s="85"/>
      <c r="FG97" s="85"/>
      <c r="FH97" s="85"/>
      <c r="FI97" s="85"/>
      <c r="FJ97" s="85"/>
      <c r="FK97" s="85"/>
      <c r="FL97" s="85"/>
      <c r="FM97" s="85"/>
      <c r="FN97" s="85"/>
      <c r="FO97" s="85"/>
      <c r="FP97" s="85"/>
      <c r="FQ97" s="85"/>
      <c r="FR97" s="85"/>
      <c r="FS97" s="85"/>
      <c r="FT97" s="85"/>
      <c r="FU97" s="85"/>
      <c r="FV97" s="85"/>
      <c r="FW97" s="85"/>
      <c r="FX97" s="85"/>
      <c r="FY97" s="85"/>
      <c r="FZ97" s="85"/>
      <c r="GA97" s="85"/>
      <c r="GB97" s="85"/>
      <c r="GC97" s="85"/>
    </row>
    <row r="98" spans="1:185" x14ac:dyDescent="0.35">
      <c r="A98" s="85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5"/>
      <c r="AM98" s="85"/>
      <c r="AN98" s="85"/>
      <c r="AO98" s="85"/>
      <c r="AP98" s="85"/>
      <c r="AQ98" s="85"/>
      <c r="AR98" s="85"/>
      <c r="AS98" s="85"/>
      <c r="AT98" s="85"/>
      <c r="AU98" s="85"/>
      <c r="AV98" s="85"/>
      <c r="AW98" s="85"/>
      <c r="AX98" s="85"/>
      <c r="AY98" s="85"/>
      <c r="AZ98" s="85"/>
      <c r="BA98" s="85"/>
      <c r="BB98" s="85"/>
      <c r="BC98" s="85"/>
      <c r="BD98" s="85"/>
      <c r="BE98" s="85"/>
      <c r="BF98" s="85"/>
      <c r="BG98" s="85"/>
      <c r="BH98" s="85"/>
      <c r="BI98" s="85"/>
      <c r="BJ98" s="85"/>
      <c r="BK98" s="85"/>
      <c r="BL98" s="85"/>
      <c r="BM98" s="85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5"/>
      <c r="CL98" s="85"/>
      <c r="CM98" s="85"/>
      <c r="CN98" s="85"/>
      <c r="CO98" s="85"/>
      <c r="CP98" s="85"/>
      <c r="CQ98" s="85"/>
      <c r="CR98" s="85"/>
      <c r="CS98" s="85"/>
      <c r="CT98" s="85"/>
      <c r="CU98" s="85"/>
      <c r="CV98" s="85"/>
      <c r="CW98" s="85"/>
      <c r="CX98" s="85"/>
      <c r="CY98" s="85"/>
      <c r="CZ98" s="85"/>
      <c r="DA98" s="85"/>
      <c r="DB98" s="85"/>
      <c r="DC98" s="85"/>
      <c r="DD98" s="85"/>
      <c r="DE98" s="85"/>
      <c r="DF98" s="85"/>
      <c r="DG98" s="85"/>
      <c r="DH98" s="85"/>
      <c r="DI98" s="85"/>
      <c r="DJ98" s="85"/>
      <c r="DK98" s="85"/>
      <c r="DL98" s="85"/>
      <c r="DM98" s="85"/>
      <c r="DN98" s="85"/>
      <c r="DO98" s="85"/>
      <c r="DP98" s="85"/>
      <c r="DQ98" s="85"/>
      <c r="DR98" s="85"/>
      <c r="DS98" s="85"/>
      <c r="DT98" s="85"/>
      <c r="DU98" s="85"/>
      <c r="DV98" s="85"/>
      <c r="DW98" s="85"/>
      <c r="DX98" s="85"/>
      <c r="DY98" s="85"/>
      <c r="DZ98" s="85"/>
      <c r="EA98" s="85"/>
      <c r="EB98" s="85"/>
      <c r="EC98" s="85"/>
      <c r="ED98" s="85"/>
      <c r="EE98" s="85"/>
      <c r="EF98" s="85"/>
      <c r="EG98" s="85"/>
      <c r="EH98" s="85"/>
      <c r="EI98" s="85"/>
      <c r="EJ98" s="85"/>
      <c r="EK98" s="85"/>
      <c r="EL98" s="85"/>
      <c r="EM98" s="85"/>
      <c r="EN98" s="85"/>
      <c r="EO98" s="85"/>
      <c r="EP98" s="85"/>
      <c r="EQ98" s="85"/>
      <c r="ER98" s="85"/>
      <c r="ES98" s="85"/>
      <c r="ET98" s="85"/>
      <c r="EU98" s="85"/>
      <c r="EV98" s="85"/>
      <c r="EW98" s="85"/>
      <c r="EX98" s="85"/>
      <c r="EY98" s="85"/>
      <c r="EZ98" s="85"/>
      <c r="FA98" s="85"/>
      <c r="FB98" s="85"/>
      <c r="FC98" s="85"/>
      <c r="FD98" s="85"/>
      <c r="FE98" s="85"/>
      <c r="FF98" s="85"/>
      <c r="FG98" s="85"/>
      <c r="FH98" s="85"/>
      <c r="FI98" s="85"/>
      <c r="FJ98" s="85"/>
      <c r="FK98" s="85"/>
      <c r="FL98" s="85"/>
      <c r="FM98" s="85"/>
      <c r="FN98" s="85"/>
      <c r="FO98" s="85"/>
      <c r="FP98" s="85"/>
      <c r="FQ98" s="85"/>
      <c r="FR98" s="85"/>
      <c r="FS98" s="85"/>
      <c r="FT98" s="85"/>
      <c r="FU98" s="85"/>
      <c r="FV98" s="85"/>
      <c r="FW98" s="85"/>
      <c r="FX98" s="85"/>
      <c r="FY98" s="85"/>
      <c r="FZ98" s="85"/>
      <c r="GA98" s="85"/>
      <c r="GB98" s="85"/>
      <c r="GC98" s="85"/>
    </row>
    <row r="99" spans="1:185" x14ac:dyDescent="0.35">
      <c r="A99" s="85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5"/>
      <c r="AM99" s="85"/>
      <c r="AN99" s="85"/>
      <c r="AO99" s="85"/>
      <c r="AP99" s="85"/>
      <c r="AQ99" s="85"/>
      <c r="AR99" s="85"/>
      <c r="AS99" s="85"/>
      <c r="AT99" s="85"/>
      <c r="AU99" s="85"/>
      <c r="AV99" s="85"/>
      <c r="AW99" s="85"/>
      <c r="AX99" s="85"/>
      <c r="AY99" s="85"/>
      <c r="AZ99" s="85"/>
      <c r="BA99" s="85"/>
      <c r="BB99" s="85"/>
      <c r="BC99" s="85"/>
      <c r="BD99" s="85"/>
      <c r="BE99" s="85"/>
      <c r="BF99" s="85"/>
      <c r="BG99" s="85"/>
      <c r="BH99" s="85"/>
      <c r="BI99" s="85"/>
      <c r="BJ99" s="85"/>
      <c r="BK99" s="85"/>
      <c r="BL99" s="85"/>
      <c r="BM99" s="85"/>
      <c r="BN99" s="85"/>
      <c r="BO99" s="85"/>
      <c r="BP99" s="85"/>
      <c r="BQ99" s="85"/>
      <c r="BR99" s="85"/>
      <c r="BS99" s="85"/>
      <c r="BT99" s="85"/>
      <c r="BU99" s="85"/>
      <c r="BV99" s="85"/>
      <c r="BW99" s="85"/>
      <c r="BX99" s="85"/>
      <c r="BY99" s="85"/>
      <c r="BZ99" s="85"/>
      <c r="CA99" s="85"/>
      <c r="CB99" s="85"/>
      <c r="CC99" s="85"/>
      <c r="CD99" s="85"/>
      <c r="CE99" s="85"/>
      <c r="CF99" s="85"/>
      <c r="CG99" s="85"/>
      <c r="CH99" s="85"/>
      <c r="CI99" s="85"/>
      <c r="CJ99" s="85"/>
      <c r="CK99" s="85"/>
      <c r="CL99" s="85"/>
      <c r="CM99" s="85"/>
      <c r="CN99" s="85"/>
      <c r="CO99" s="85"/>
      <c r="CP99" s="85"/>
      <c r="CQ99" s="85"/>
      <c r="CR99" s="85"/>
      <c r="CS99" s="85"/>
      <c r="CT99" s="85"/>
      <c r="CU99" s="85"/>
      <c r="CV99" s="85"/>
      <c r="CW99" s="85"/>
      <c r="CX99" s="85"/>
      <c r="CY99" s="85"/>
      <c r="CZ99" s="85"/>
      <c r="DA99" s="85"/>
      <c r="DB99" s="85"/>
      <c r="DC99" s="85"/>
      <c r="DD99" s="85"/>
      <c r="DE99" s="85"/>
      <c r="DF99" s="85"/>
      <c r="DG99" s="85"/>
      <c r="DH99" s="85"/>
      <c r="DI99" s="85"/>
      <c r="DJ99" s="85"/>
      <c r="DK99" s="85"/>
      <c r="DL99" s="85"/>
      <c r="DM99" s="85"/>
      <c r="DN99" s="85"/>
      <c r="DO99" s="85"/>
      <c r="DP99" s="85"/>
      <c r="DQ99" s="85"/>
      <c r="DR99" s="85"/>
      <c r="DS99" s="85"/>
      <c r="DT99" s="85"/>
      <c r="DU99" s="85"/>
      <c r="DV99" s="85"/>
      <c r="DW99" s="85"/>
      <c r="DX99" s="85"/>
      <c r="DY99" s="85"/>
      <c r="DZ99" s="85"/>
      <c r="EA99" s="85"/>
      <c r="EB99" s="85"/>
      <c r="EC99" s="85"/>
      <c r="ED99" s="85"/>
      <c r="EE99" s="85"/>
      <c r="EF99" s="85"/>
      <c r="EG99" s="85"/>
      <c r="EH99" s="85"/>
      <c r="EI99" s="85"/>
      <c r="EJ99" s="85"/>
      <c r="EK99" s="85"/>
      <c r="EL99" s="85"/>
      <c r="EM99" s="85"/>
      <c r="EN99" s="85"/>
      <c r="EO99" s="85"/>
      <c r="EP99" s="85"/>
      <c r="EQ99" s="85"/>
      <c r="ER99" s="85"/>
      <c r="ES99" s="85"/>
      <c r="ET99" s="85"/>
      <c r="EU99" s="85"/>
      <c r="EV99" s="85"/>
      <c r="EW99" s="85"/>
      <c r="EX99" s="85"/>
      <c r="EY99" s="85"/>
      <c r="EZ99" s="85"/>
      <c r="FA99" s="85"/>
      <c r="FB99" s="85"/>
      <c r="FC99" s="85"/>
      <c r="FD99" s="85"/>
      <c r="FE99" s="85"/>
      <c r="FF99" s="85"/>
      <c r="FG99" s="85"/>
      <c r="FH99" s="85"/>
      <c r="FI99" s="85"/>
      <c r="FJ99" s="85"/>
      <c r="FK99" s="85"/>
      <c r="FL99" s="85"/>
      <c r="FM99" s="85"/>
      <c r="FN99" s="85"/>
      <c r="FO99" s="85"/>
      <c r="FP99" s="85"/>
      <c r="FQ99" s="85"/>
      <c r="FR99" s="85"/>
      <c r="FS99" s="85"/>
      <c r="FT99" s="85"/>
      <c r="FU99" s="85"/>
      <c r="FV99" s="85"/>
      <c r="FW99" s="85"/>
      <c r="FX99" s="85"/>
      <c r="FY99" s="85"/>
      <c r="FZ99" s="85"/>
      <c r="GA99" s="85"/>
      <c r="GB99" s="85"/>
      <c r="GC99" s="85"/>
    </row>
    <row r="100" spans="1:185" x14ac:dyDescent="0.35">
      <c r="A100" s="85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5"/>
      <c r="AM100" s="85"/>
      <c r="AN100" s="85"/>
      <c r="AO100" s="85"/>
      <c r="AP100" s="85"/>
      <c r="AQ100" s="85"/>
      <c r="AR100" s="85"/>
      <c r="AS100" s="85"/>
      <c r="AT100" s="85"/>
      <c r="AU100" s="85"/>
      <c r="AV100" s="85"/>
      <c r="AW100" s="85"/>
      <c r="AX100" s="85"/>
      <c r="AY100" s="85"/>
      <c r="AZ100" s="85"/>
      <c r="BA100" s="85"/>
      <c r="BB100" s="85"/>
      <c r="BC100" s="85"/>
      <c r="BD100" s="85"/>
      <c r="BE100" s="85"/>
      <c r="BF100" s="85"/>
      <c r="BG100" s="85"/>
      <c r="BH100" s="85"/>
      <c r="BI100" s="85"/>
      <c r="BJ100" s="85"/>
      <c r="BK100" s="85"/>
      <c r="BL100" s="85"/>
      <c r="BM100" s="85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85"/>
      <c r="CG100" s="85"/>
      <c r="CH100" s="85"/>
      <c r="CI100" s="85"/>
      <c r="CJ100" s="85"/>
      <c r="CK100" s="85"/>
      <c r="CL100" s="85"/>
      <c r="CM100" s="85"/>
      <c r="CN100" s="85"/>
      <c r="CO100" s="85"/>
      <c r="CP100" s="85"/>
      <c r="CQ100" s="85"/>
      <c r="CR100" s="85"/>
      <c r="CS100" s="85"/>
      <c r="CT100" s="85"/>
      <c r="CU100" s="85"/>
      <c r="CV100" s="85"/>
      <c r="CW100" s="85"/>
      <c r="CX100" s="85"/>
      <c r="CY100" s="85"/>
      <c r="CZ100" s="85"/>
      <c r="DA100" s="85"/>
      <c r="DB100" s="85"/>
      <c r="DC100" s="85"/>
      <c r="DD100" s="85"/>
      <c r="DE100" s="85"/>
      <c r="DF100" s="85"/>
      <c r="DG100" s="85"/>
      <c r="DH100" s="85"/>
      <c r="DI100" s="85"/>
      <c r="DJ100" s="85"/>
      <c r="DK100" s="85"/>
      <c r="DL100" s="85"/>
      <c r="DM100" s="85"/>
      <c r="DN100" s="85"/>
      <c r="DO100" s="85"/>
      <c r="DP100" s="85"/>
      <c r="DQ100" s="85"/>
      <c r="DR100" s="85"/>
      <c r="DS100" s="85"/>
      <c r="DT100" s="85"/>
      <c r="DU100" s="85"/>
      <c r="DV100" s="85"/>
      <c r="DW100" s="85"/>
      <c r="DX100" s="85"/>
      <c r="DY100" s="85"/>
      <c r="DZ100" s="85"/>
      <c r="EA100" s="85"/>
      <c r="EB100" s="85"/>
      <c r="EC100" s="85"/>
      <c r="ED100" s="85"/>
      <c r="EE100" s="85"/>
      <c r="EF100" s="85"/>
      <c r="EG100" s="85"/>
      <c r="EH100" s="85"/>
      <c r="EI100" s="85"/>
      <c r="EJ100" s="85"/>
      <c r="EK100" s="85"/>
      <c r="EL100" s="85"/>
      <c r="EM100" s="85"/>
      <c r="EN100" s="85"/>
      <c r="EO100" s="85"/>
      <c r="EP100" s="85"/>
      <c r="EQ100" s="85"/>
      <c r="ER100" s="85"/>
      <c r="ES100" s="85"/>
      <c r="ET100" s="85"/>
      <c r="EU100" s="85"/>
      <c r="EV100" s="85"/>
      <c r="EW100" s="85"/>
      <c r="EX100" s="85"/>
      <c r="EY100" s="85"/>
      <c r="EZ100" s="85"/>
      <c r="FA100" s="85"/>
      <c r="FB100" s="85"/>
      <c r="FC100" s="85"/>
      <c r="FD100" s="85"/>
      <c r="FE100" s="85"/>
      <c r="FF100" s="85"/>
      <c r="FG100" s="85"/>
      <c r="FH100" s="85"/>
      <c r="FI100" s="85"/>
      <c r="FJ100" s="85"/>
      <c r="FK100" s="85"/>
      <c r="FL100" s="85"/>
      <c r="FM100" s="85"/>
      <c r="FN100" s="85"/>
      <c r="FO100" s="85"/>
      <c r="FP100" s="85"/>
      <c r="FQ100" s="85"/>
      <c r="FR100" s="85"/>
      <c r="FS100" s="85"/>
      <c r="FT100" s="85"/>
      <c r="FU100" s="85"/>
      <c r="FV100" s="85"/>
      <c r="FW100" s="85"/>
      <c r="FX100" s="85"/>
      <c r="FY100" s="85"/>
      <c r="FZ100" s="85"/>
      <c r="GA100" s="85"/>
      <c r="GB100" s="85"/>
      <c r="GC100" s="85"/>
    </row>
    <row r="101" spans="1:185" x14ac:dyDescent="0.35">
      <c r="A101" s="85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5"/>
      <c r="FM101" s="85"/>
      <c r="FN101" s="85"/>
      <c r="FO101" s="85"/>
      <c r="FP101" s="85"/>
      <c r="FQ101" s="85"/>
      <c r="FR101" s="85"/>
      <c r="FS101" s="85"/>
      <c r="FT101" s="85"/>
      <c r="FU101" s="85"/>
      <c r="FV101" s="85"/>
      <c r="FW101" s="85"/>
      <c r="FX101" s="85"/>
      <c r="FY101" s="85"/>
      <c r="FZ101" s="85"/>
      <c r="GA101" s="85"/>
      <c r="GB101" s="85"/>
      <c r="GC101" s="85"/>
    </row>
    <row r="102" spans="1:185" x14ac:dyDescent="0.35">
      <c r="A102" s="85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5"/>
      <c r="AM102" s="85"/>
      <c r="AN102" s="85"/>
      <c r="AO102" s="85"/>
      <c r="AP102" s="85"/>
      <c r="AQ102" s="85"/>
      <c r="AR102" s="85"/>
      <c r="AS102" s="85"/>
      <c r="AT102" s="85"/>
      <c r="AU102" s="85"/>
      <c r="AV102" s="85"/>
      <c r="AW102" s="85"/>
      <c r="AX102" s="85"/>
      <c r="AY102" s="85"/>
      <c r="AZ102" s="85"/>
      <c r="BA102" s="85"/>
      <c r="BB102" s="85"/>
      <c r="BC102" s="85"/>
      <c r="BD102" s="85"/>
      <c r="BE102" s="85"/>
      <c r="BF102" s="85"/>
      <c r="BG102" s="85"/>
      <c r="BH102" s="85"/>
      <c r="BI102" s="85"/>
      <c r="BJ102" s="85"/>
      <c r="BK102" s="85"/>
      <c r="BL102" s="85"/>
      <c r="BM102" s="85"/>
      <c r="BN102" s="85"/>
      <c r="BO102" s="85"/>
      <c r="BP102" s="85"/>
      <c r="BQ102" s="85"/>
      <c r="BR102" s="85"/>
      <c r="BS102" s="85"/>
      <c r="BT102" s="85"/>
      <c r="BU102" s="85"/>
      <c r="BV102" s="85"/>
      <c r="BW102" s="85"/>
      <c r="BX102" s="85"/>
      <c r="BY102" s="85"/>
      <c r="BZ102" s="85"/>
      <c r="CA102" s="85"/>
      <c r="CB102" s="85"/>
      <c r="CC102" s="85"/>
      <c r="CD102" s="85"/>
      <c r="CE102" s="85"/>
      <c r="CF102" s="85"/>
      <c r="CG102" s="85"/>
      <c r="CH102" s="85"/>
      <c r="CI102" s="85"/>
      <c r="CJ102" s="85"/>
      <c r="CK102" s="85"/>
      <c r="CL102" s="85"/>
      <c r="CM102" s="85"/>
      <c r="CN102" s="85"/>
      <c r="CO102" s="85"/>
      <c r="CP102" s="85"/>
      <c r="CQ102" s="85"/>
      <c r="CR102" s="85"/>
      <c r="CS102" s="85"/>
      <c r="CT102" s="85"/>
      <c r="CU102" s="85"/>
      <c r="CV102" s="85"/>
      <c r="CW102" s="85"/>
      <c r="CX102" s="85"/>
      <c r="CY102" s="85"/>
      <c r="CZ102" s="85"/>
      <c r="DA102" s="85"/>
      <c r="DB102" s="85"/>
      <c r="DC102" s="85"/>
      <c r="DD102" s="85"/>
      <c r="DE102" s="85"/>
      <c r="DF102" s="85"/>
      <c r="DG102" s="85"/>
      <c r="DH102" s="85"/>
      <c r="DI102" s="85"/>
      <c r="DJ102" s="85"/>
      <c r="DK102" s="85"/>
      <c r="DL102" s="85"/>
      <c r="DM102" s="85"/>
      <c r="DN102" s="85"/>
      <c r="DO102" s="85"/>
      <c r="DP102" s="85"/>
      <c r="DQ102" s="85"/>
      <c r="DR102" s="85"/>
      <c r="DS102" s="85"/>
      <c r="DT102" s="85"/>
      <c r="DU102" s="85"/>
      <c r="DV102" s="85"/>
      <c r="DW102" s="85"/>
      <c r="DX102" s="85"/>
      <c r="DY102" s="85"/>
      <c r="DZ102" s="85"/>
      <c r="EA102" s="85"/>
      <c r="EB102" s="85"/>
      <c r="EC102" s="85"/>
      <c r="ED102" s="85"/>
      <c r="EE102" s="85"/>
      <c r="EF102" s="85"/>
      <c r="EG102" s="85"/>
      <c r="EH102" s="85"/>
      <c r="EI102" s="85"/>
      <c r="EJ102" s="85"/>
      <c r="EK102" s="85"/>
      <c r="EL102" s="85"/>
      <c r="EM102" s="85"/>
      <c r="EN102" s="85"/>
      <c r="EO102" s="85"/>
      <c r="EP102" s="85"/>
      <c r="EQ102" s="85"/>
      <c r="ER102" s="85"/>
      <c r="ES102" s="85"/>
      <c r="ET102" s="85"/>
      <c r="EU102" s="85"/>
      <c r="EV102" s="85"/>
      <c r="EW102" s="85"/>
      <c r="EX102" s="85"/>
      <c r="EY102" s="85"/>
      <c r="EZ102" s="85"/>
      <c r="FA102" s="85"/>
      <c r="FB102" s="85"/>
      <c r="FC102" s="85"/>
      <c r="FD102" s="85"/>
      <c r="FE102" s="85"/>
      <c r="FF102" s="85"/>
      <c r="FG102" s="85"/>
      <c r="FH102" s="85"/>
      <c r="FI102" s="85"/>
      <c r="FJ102" s="85"/>
      <c r="FK102" s="85"/>
      <c r="FL102" s="85"/>
      <c r="FM102" s="85"/>
      <c r="FN102" s="85"/>
      <c r="FO102" s="85"/>
      <c r="FP102" s="85"/>
      <c r="FQ102" s="85"/>
      <c r="FR102" s="85"/>
      <c r="FS102" s="85"/>
      <c r="FT102" s="85"/>
      <c r="FU102" s="85"/>
      <c r="FV102" s="85"/>
      <c r="FW102" s="85"/>
      <c r="FX102" s="85"/>
      <c r="FY102" s="85"/>
      <c r="FZ102" s="85"/>
      <c r="GA102" s="85"/>
      <c r="GB102" s="85"/>
      <c r="GC102" s="85"/>
    </row>
    <row r="103" spans="1:185" x14ac:dyDescent="0.35">
      <c r="A103" s="85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5"/>
      <c r="AZ103" s="85"/>
      <c r="BA103" s="85"/>
      <c r="BB103" s="85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5"/>
      <c r="BZ103" s="85"/>
      <c r="CA103" s="85"/>
      <c r="CB103" s="85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5"/>
      <c r="CZ103" s="85"/>
      <c r="DA103" s="85"/>
      <c r="DB103" s="85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  <c r="DY103" s="85"/>
      <c r="DZ103" s="85"/>
      <c r="EA103" s="85"/>
      <c r="EB103" s="85"/>
      <c r="EC103" s="85"/>
      <c r="ED103" s="85"/>
      <c r="EE103" s="85"/>
      <c r="EF103" s="85"/>
      <c r="EG103" s="85"/>
      <c r="EH103" s="85"/>
      <c r="EI103" s="85"/>
      <c r="EJ103" s="85"/>
      <c r="EK103" s="85"/>
      <c r="EL103" s="85"/>
      <c r="EM103" s="85"/>
      <c r="EN103" s="85"/>
      <c r="EO103" s="85"/>
      <c r="EP103" s="85"/>
      <c r="EQ103" s="85"/>
      <c r="ER103" s="85"/>
      <c r="ES103" s="85"/>
      <c r="ET103" s="85"/>
      <c r="EU103" s="85"/>
      <c r="EV103" s="85"/>
      <c r="EW103" s="85"/>
      <c r="EX103" s="85"/>
      <c r="EY103" s="85"/>
      <c r="EZ103" s="85"/>
      <c r="FA103" s="85"/>
      <c r="FB103" s="85"/>
      <c r="FC103" s="85"/>
      <c r="FD103" s="85"/>
      <c r="FE103" s="85"/>
      <c r="FF103" s="85"/>
      <c r="FG103" s="85"/>
      <c r="FH103" s="85"/>
      <c r="FI103" s="85"/>
      <c r="FJ103" s="85"/>
      <c r="FK103" s="85"/>
      <c r="FL103" s="85"/>
      <c r="FM103" s="85"/>
      <c r="FN103" s="85"/>
      <c r="FO103" s="85"/>
      <c r="FP103" s="85"/>
      <c r="FQ103" s="85"/>
      <c r="FR103" s="85"/>
      <c r="FS103" s="85"/>
      <c r="FT103" s="85"/>
      <c r="FU103" s="85"/>
      <c r="FV103" s="85"/>
      <c r="FW103" s="85"/>
      <c r="FX103" s="85"/>
      <c r="FY103" s="85"/>
      <c r="FZ103" s="85"/>
      <c r="GA103" s="85"/>
      <c r="GB103" s="85"/>
      <c r="GC103" s="85"/>
    </row>
    <row r="104" spans="1:185" x14ac:dyDescent="0.35">
      <c r="A104" s="85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  <c r="AO104" s="85"/>
      <c r="AP104" s="85"/>
      <c r="AQ104" s="85"/>
      <c r="AR104" s="85"/>
      <c r="AS104" s="85"/>
      <c r="AT104" s="85"/>
      <c r="AU104" s="85"/>
      <c r="AV104" s="85"/>
      <c r="AW104" s="85"/>
      <c r="AX104" s="85"/>
      <c r="AY104" s="85"/>
      <c r="AZ104" s="85"/>
      <c r="BA104" s="85"/>
      <c r="BB104" s="85"/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  <c r="DF104" s="85"/>
      <c r="DG104" s="85"/>
      <c r="DH104" s="85"/>
      <c r="DI104" s="85"/>
      <c r="DJ104" s="85"/>
      <c r="DK104" s="85"/>
      <c r="DL104" s="85"/>
      <c r="DM104" s="85"/>
      <c r="DN104" s="85"/>
      <c r="DO104" s="85"/>
      <c r="DP104" s="85"/>
      <c r="DQ104" s="85"/>
      <c r="DR104" s="85"/>
      <c r="DS104" s="85"/>
      <c r="DT104" s="85"/>
      <c r="DU104" s="85"/>
      <c r="DV104" s="85"/>
      <c r="DW104" s="85"/>
      <c r="DX104" s="85"/>
      <c r="DY104" s="85"/>
      <c r="DZ104" s="85"/>
      <c r="EA104" s="85"/>
      <c r="EB104" s="85"/>
      <c r="EC104" s="85"/>
      <c r="ED104" s="85"/>
      <c r="EE104" s="85"/>
      <c r="EF104" s="85"/>
      <c r="EG104" s="85"/>
      <c r="EH104" s="85"/>
      <c r="EI104" s="85"/>
      <c r="EJ104" s="85"/>
      <c r="EK104" s="85"/>
      <c r="EL104" s="85"/>
      <c r="EM104" s="85"/>
      <c r="EN104" s="85"/>
      <c r="EO104" s="85"/>
      <c r="EP104" s="85"/>
      <c r="EQ104" s="85"/>
      <c r="ER104" s="85"/>
      <c r="ES104" s="85"/>
      <c r="ET104" s="85"/>
      <c r="EU104" s="85"/>
      <c r="EV104" s="85"/>
      <c r="EW104" s="85"/>
      <c r="EX104" s="85"/>
      <c r="EY104" s="85"/>
      <c r="EZ104" s="85"/>
      <c r="FA104" s="85"/>
      <c r="FB104" s="85"/>
      <c r="FC104" s="85"/>
      <c r="FD104" s="85"/>
      <c r="FE104" s="85"/>
      <c r="FF104" s="85"/>
      <c r="FG104" s="85"/>
      <c r="FH104" s="85"/>
      <c r="FI104" s="85"/>
      <c r="FJ104" s="85"/>
      <c r="FK104" s="85"/>
      <c r="FL104" s="85"/>
      <c r="FM104" s="85"/>
      <c r="FN104" s="85"/>
      <c r="FO104" s="85"/>
      <c r="FP104" s="85"/>
      <c r="FQ104" s="85"/>
      <c r="FR104" s="85"/>
      <c r="FS104" s="85"/>
      <c r="FT104" s="85"/>
      <c r="FU104" s="85"/>
      <c r="FV104" s="85"/>
      <c r="FW104" s="85"/>
      <c r="FX104" s="85"/>
      <c r="FY104" s="85"/>
      <c r="FZ104" s="85"/>
      <c r="GA104" s="85"/>
      <c r="GB104" s="85"/>
      <c r="GC104" s="85"/>
    </row>
    <row r="105" spans="1:185" x14ac:dyDescent="0.35">
      <c r="A105" s="85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85"/>
      <c r="AN105" s="85"/>
      <c r="AO105" s="85"/>
      <c r="AP105" s="85"/>
      <c r="AQ105" s="85"/>
      <c r="AR105" s="85"/>
      <c r="AS105" s="85"/>
      <c r="AT105" s="85"/>
      <c r="AU105" s="85"/>
      <c r="AV105" s="85"/>
      <c r="AW105" s="85"/>
      <c r="AX105" s="85"/>
      <c r="AY105" s="85"/>
      <c r="AZ105" s="85"/>
      <c r="BA105" s="85"/>
      <c r="BB105" s="85"/>
      <c r="BC105" s="85"/>
      <c r="BD105" s="85"/>
      <c r="BE105" s="85"/>
      <c r="BF105" s="85"/>
      <c r="BG105" s="85"/>
      <c r="BH105" s="85"/>
      <c r="BI105" s="85"/>
      <c r="BJ105" s="85"/>
      <c r="BK105" s="85"/>
      <c r="BL105" s="85"/>
      <c r="BM105" s="85"/>
      <c r="BN105" s="85"/>
      <c r="BO105" s="85"/>
      <c r="BP105" s="85"/>
      <c r="BQ105" s="85"/>
      <c r="BR105" s="85"/>
      <c r="BS105" s="85"/>
      <c r="BT105" s="85"/>
      <c r="BU105" s="85"/>
      <c r="BV105" s="85"/>
      <c r="BW105" s="85"/>
      <c r="BX105" s="85"/>
      <c r="BY105" s="85"/>
      <c r="BZ105" s="85"/>
      <c r="CA105" s="85"/>
      <c r="CB105" s="85"/>
      <c r="CC105" s="85"/>
      <c r="CD105" s="85"/>
      <c r="CE105" s="85"/>
      <c r="CF105" s="85"/>
      <c r="CG105" s="85"/>
      <c r="CH105" s="85"/>
      <c r="CI105" s="85"/>
      <c r="CJ105" s="85"/>
      <c r="CK105" s="85"/>
      <c r="CL105" s="85"/>
      <c r="CM105" s="85"/>
      <c r="CN105" s="85"/>
      <c r="CO105" s="85"/>
      <c r="CP105" s="85"/>
      <c r="CQ105" s="85"/>
      <c r="CR105" s="85"/>
      <c r="CS105" s="85"/>
      <c r="CT105" s="85"/>
      <c r="CU105" s="85"/>
      <c r="CV105" s="85"/>
      <c r="CW105" s="85"/>
      <c r="CX105" s="85"/>
      <c r="CY105" s="85"/>
      <c r="CZ105" s="85"/>
      <c r="DA105" s="85"/>
      <c r="DB105" s="85"/>
      <c r="DC105" s="85"/>
      <c r="DD105" s="85"/>
      <c r="DE105" s="85"/>
      <c r="DF105" s="85"/>
      <c r="DG105" s="85"/>
      <c r="DH105" s="85"/>
      <c r="DI105" s="85"/>
      <c r="DJ105" s="85"/>
      <c r="DK105" s="85"/>
      <c r="DL105" s="85"/>
      <c r="DM105" s="85"/>
      <c r="DN105" s="85"/>
      <c r="DO105" s="85"/>
      <c r="DP105" s="85"/>
      <c r="DQ105" s="85"/>
      <c r="DR105" s="85"/>
      <c r="DS105" s="85"/>
      <c r="DT105" s="85"/>
      <c r="DU105" s="85"/>
      <c r="DV105" s="85"/>
      <c r="DW105" s="85"/>
      <c r="DX105" s="85"/>
      <c r="DY105" s="85"/>
      <c r="DZ105" s="85"/>
      <c r="EA105" s="85"/>
      <c r="EB105" s="85"/>
      <c r="EC105" s="85"/>
      <c r="ED105" s="85"/>
      <c r="EE105" s="85"/>
      <c r="EF105" s="85"/>
      <c r="EG105" s="85"/>
      <c r="EH105" s="85"/>
      <c r="EI105" s="85"/>
      <c r="EJ105" s="85"/>
      <c r="EK105" s="85"/>
      <c r="EL105" s="85"/>
      <c r="EM105" s="85"/>
      <c r="EN105" s="85"/>
      <c r="EO105" s="85"/>
      <c r="EP105" s="85"/>
      <c r="EQ105" s="85"/>
      <c r="ER105" s="85"/>
      <c r="ES105" s="85"/>
      <c r="ET105" s="85"/>
      <c r="EU105" s="85"/>
      <c r="EV105" s="85"/>
      <c r="EW105" s="85"/>
      <c r="EX105" s="85"/>
      <c r="EY105" s="85"/>
      <c r="EZ105" s="85"/>
      <c r="FA105" s="85"/>
      <c r="FB105" s="85"/>
      <c r="FC105" s="85"/>
      <c r="FD105" s="85"/>
      <c r="FE105" s="85"/>
      <c r="FF105" s="85"/>
      <c r="FG105" s="85"/>
      <c r="FH105" s="85"/>
      <c r="FI105" s="85"/>
      <c r="FJ105" s="85"/>
      <c r="FK105" s="85"/>
      <c r="FL105" s="85"/>
      <c r="FM105" s="85"/>
      <c r="FN105" s="85"/>
      <c r="FO105" s="85"/>
      <c r="FP105" s="85"/>
      <c r="FQ105" s="85"/>
      <c r="FR105" s="85"/>
      <c r="FS105" s="85"/>
      <c r="FT105" s="85"/>
      <c r="FU105" s="85"/>
      <c r="FV105" s="85"/>
      <c r="FW105" s="85"/>
      <c r="FX105" s="85"/>
      <c r="FY105" s="85"/>
      <c r="FZ105" s="85"/>
      <c r="GA105" s="85"/>
      <c r="GB105" s="85"/>
      <c r="GC105" s="85"/>
    </row>
    <row r="106" spans="1:185" x14ac:dyDescent="0.35">
      <c r="A106" s="85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5"/>
      <c r="AM106" s="85"/>
      <c r="AN106" s="85"/>
      <c r="AO106" s="85"/>
      <c r="AP106" s="85"/>
      <c r="AQ106" s="85"/>
      <c r="AR106" s="85"/>
      <c r="AS106" s="85"/>
      <c r="AT106" s="85"/>
      <c r="AU106" s="85"/>
      <c r="AV106" s="85"/>
      <c r="AW106" s="85"/>
      <c r="AX106" s="85"/>
      <c r="AY106" s="85"/>
      <c r="AZ106" s="85"/>
      <c r="BA106" s="85"/>
      <c r="BB106" s="85"/>
      <c r="BC106" s="85"/>
      <c r="BD106" s="85"/>
      <c r="BE106" s="85"/>
      <c r="BF106" s="85"/>
      <c r="BG106" s="85"/>
      <c r="BH106" s="85"/>
      <c r="BI106" s="85"/>
      <c r="BJ106" s="85"/>
      <c r="BK106" s="85"/>
      <c r="BL106" s="85"/>
      <c r="BM106" s="85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85"/>
      <c r="CG106" s="85"/>
      <c r="CH106" s="85"/>
      <c r="CI106" s="85"/>
      <c r="CJ106" s="85"/>
      <c r="CK106" s="85"/>
      <c r="CL106" s="85"/>
      <c r="CM106" s="85"/>
      <c r="CN106" s="85"/>
      <c r="CO106" s="85"/>
      <c r="CP106" s="85"/>
      <c r="CQ106" s="85"/>
      <c r="CR106" s="85"/>
      <c r="CS106" s="85"/>
      <c r="CT106" s="85"/>
      <c r="CU106" s="85"/>
      <c r="CV106" s="85"/>
      <c r="CW106" s="85"/>
      <c r="CX106" s="85"/>
      <c r="CY106" s="85"/>
      <c r="CZ106" s="85"/>
      <c r="DA106" s="85"/>
      <c r="DB106" s="85"/>
      <c r="DC106" s="85"/>
      <c r="DD106" s="85"/>
      <c r="DE106" s="85"/>
      <c r="DF106" s="85"/>
      <c r="DG106" s="85"/>
      <c r="DH106" s="85"/>
      <c r="DI106" s="85"/>
      <c r="DJ106" s="85"/>
      <c r="DK106" s="85"/>
      <c r="DL106" s="85"/>
      <c r="DM106" s="85"/>
      <c r="DN106" s="85"/>
      <c r="DO106" s="85"/>
      <c r="DP106" s="85"/>
      <c r="DQ106" s="85"/>
      <c r="DR106" s="85"/>
      <c r="DS106" s="85"/>
      <c r="DT106" s="85"/>
      <c r="DU106" s="85"/>
      <c r="DV106" s="85"/>
      <c r="DW106" s="85"/>
      <c r="DX106" s="85"/>
      <c r="DY106" s="85"/>
      <c r="DZ106" s="85"/>
      <c r="EA106" s="85"/>
      <c r="EB106" s="85"/>
      <c r="EC106" s="85"/>
      <c r="ED106" s="85"/>
      <c r="EE106" s="85"/>
      <c r="EF106" s="85"/>
      <c r="EG106" s="85"/>
      <c r="EH106" s="85"/>
      <c r="EI106" s="85"/>
      <c r="EJ106" s="85"/>
      <c r="EK106" s="85"/>
      <c r="EL106" s="85"/>
      <c r="EM106" s="85"/>
      <c r="EN106" s="85"/>
      <c r="EO106" s="85"/>
      <c r="EP106" s="85"/>
      <c r="EQ106" s="85"/>
      <c r="ER106" s="85"/>
      <c r="ES106" s="85"/>
      <c r="ET106" s="85"/>
      <c r="EU106" s="85"/>
      <c r="EV106" s="85"/>
      <c r="EW106" s="85"/>
      <c r="EX106" s="85"/>
      <c r="EY106" s="85"/>
      <c r="EZ106" s="85"/>
      <c r="FA106" s="85"/>
      <c r="FB106" s="85"/>
      <c r="FC106" s="85"/>
      <c r="FD106" s="85"/>
      <c r="FE106" s="85"/>
      <c r="FF106" s="85"/>
      <c r="FG106" s="85"/>
      <c r="FH106" s="85"/>
      <c r="FI106" s="85"/>
      <c r="FJ106" s="85"/>
      <c r="FK106" s="85"/>
      <c r="FL106" s="85"/>
      <c r="FM106" s="85"/>
      <c r="FN106" s="85"/>
      <c r="FO106" s="85"/>
      <c r="FP106" s="85"/>
      <c r="FQ106" s="85"/>
      <c r="FR106" s="85"/>
      <c r="FS106" s="85"/>
      <c r="FT106" s="85"/>
      <c r="FU106" s="85"/>
      <c r="FV106" s="85"/>
      <c r="FW106" s="85"/>
      <c r="FX106" s="85"/>
      <c r="FY106" s="85"/>
      <c r="FZ106" s="85"/>
      <c r="GA106" s="85"/>
      <c r="GB106" s="85"/>
      <c r="GC106" s="85"/>
    </row>
    <row r="107" spans="1:185" x14ac:dyDescent="0.35">
      <c r="A107" s="85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5"/>
      <c r="AM107" s="85"/>
      <c r="AN107" s="85"/>
      <c r="AO107" s="85"/>
      <c r="AP107" s="85"/>
      <c r="AQ107" s="85"/>
      <c r="AR107" s="85"/>
      <c r="AS107" s="85"/>
      <c r="AT107" s="85"/>
      <c r="AU107" s="85"/>
      <c r="AV107" s="85"/>
      <c r="AW107" s="85"/>
      <c r="AX107" s="85"/>
      <c r="AY107" s="85"/>
      <c r="AZ107" s="85"/>
      <c r="BA107" s="85"/>
      <c r="BB107" s="85"/>
      <c r="BC107" s="85"/>
      <c r="BD107" s="85"/>
      <c r="BE107" s="85"/>
      <c r="BF107" s="85"/>
      <c r="BG107" s="85"/>
      <c r="BH107" s="85"/>
      <c r="BI107" s="85"/>
      <c r="BJ107" s="85"/>
      <c r="BK107" s="85"/>
      <c r="BL107" s="85"/>
      <c r="BM107" s="85"/>
      <c r="BN107" s="85"/>
      <c r="BO107" s="85"/>
      <c r="BP107" s="85"/>
      <c r="BQ107" s="85"/>
      <c r="BR107" s="85"/>
      <c r="BS107" s="85"/>
      <c r="BT107" s="85"/>
      <c r="BU107" s="85"/>
      <c r="BV107" s="85"/>
      <c r="BW107" s="85"/>
      <c r="BX107" s="85"/>
      <c r="BY107" s="85"/>
      <c r="BZ107" s="85"/>
      <c r="CA107" s="85"/>
      <c r="CB107" s="85"/>
      <c r="CC107" s="85"/>
      <c r="CD107" s="85"/>
      <c r="CE107" s="85"/>
      <c r="CF107" s="85"/>
      <c r="CG107" s="85"/>
      <c r="CH107" s="85"/>
      <c r="CI107" s="85"/>
      <c r="CJ107" s="85"/>
      <c r="CK107" s="85"/>
      <c r="CL107" s="85"/>
      <c r="CM107" s="85"/>
      <c r="CN107" s="85"/>
      <c r="CO107" s="85"/>
      <c r="CP107" s="85"/>
      <c r="CQ107" s="85"/>
      <c r="CR107" s="85"/>
      <c r="CS107" s="85"/>
      <c r="CT107" s="85"/>
      <c r="CU107" s="85"/>
      <c r="CV107" s="85"/>
      <c r="CW107" s="85"/>
      <c r="CX107" s="85"/>
      <c r="CY107" s="85"/>
      <c r="CZ107" s="85"/>
      <c r="DA107" s="85"/>
      <c r="DB107" s="85"/>
      <c r="DC107" s="85"/>
      <c r="DD107" s="85"/>
      <c r="DE107" s="85"/>
      <c r="DF107" s="85"/>
      <c r="DG107" s="85"/>
      <c r="DH107" s="85"/>
      <c r="DI107" s="85"/>
      <c r="DJ107" s="85"/>
      <c r="DK107" s="85"/>
      <c r="DL107" s="85"/>
      <c r="DM107" s="85"/>
      <c r="DN107" s="85"/>
      <c r="DO107" s="85"/>
      <c r="DP107" s="85"/>
      <c r="DQ107" s="85"/>
      <c r="DR107" s="85"/>
      <c r="DS107" s="85"/>
      <c r="DT107" s="85"/>
      <c r="DU107" s="85"/>
      <c r="DV107" s="85"/>
      <c r="DW107" s="85"/>
      <c r="DX107" s="85"/>
      <c r="DY107" s="85"/>
      <c r="DZ107" s="85"/>
      <c r="EA107" s="85"/>
      <c r="EB107" s="85"/>
      <c r="EC107" s="85"/>
      <c r="ED107" s="85"/>
      <c r="EE107" s="85"/>
      <c r="EF107" s="85"/>
      <c r="EG107" s="85"/>
      <c r="EH107" s="85"/>
      <c r="EI107" s="85"/>
      <c r="EJ107" s="85"/>
      <c r="EK107" s="85"/>
      <c r="EL107" s="85"/>
      <c r="EM107" s="85"/>
      <c r="EN107" s="85"/>
      <c r="EO107" s="85"/>
      <c r="EP107" s="85"/>
      <c r="EQ107" s="85"/>
      <c r="ER107" s="85"/>
      <c r="ES107" s="85"/>
      <c r="ET107" s="85"/>
      <c r="EU107" s="85"/>
      <c r="EV107" s="85"/>
      <c r="EW107" s="85"/>
      <c r="EX107" s="85"/>
      <c r="EY107" s="85"/>
      <c r="EZ107" s="85"/>
      <c r="FA107" s="85"/>
      <c r="FB107" s="85"/>
      <c r="FC107" s="85"/>
      <c r="FD107" s="85"/>
      <c r="FE107" s="85"/>
      <c r="FF107" s="85"/>
      <c r="FG107" s="85"/>
      <c r="FH107" s="85"/>
      <c r="FI107" s="85"/>
      <c r="FJ107" s="85"/>
      <c r="FK107" s="85"/>
      <c r="FL107" s="85"/>
      <c r="FM107" s="85"/>
      <c r="FN107" s="85"/>
      <c r="FO107" s="85"/>
      <c r="FP107" s="85"/>
      <c r="FQ107" s="85"/>
      <c r="FR107" s="85"/>
      <c r="FS107" s="85"/>
      <c r="FT107" s="85"/>
      <c r="FU107" s="85"/>
      <c r="FV107" s="85"/>
      <c r="FW107" s="85"/>
      <c r="FX107" s="85"/>
      <c r="FY107" s="85"/>
      <c r="FZ107" s="85"/>
      <c r="GA107" s="85"/>
      <c r="GB107" s="85"/>
      <c r="GC107" s="85"/>
    </row>
    <row r="108" spans="1:185" x14ac:dyDescent="0.35">
      <c r="A108" s="85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5"/>
      <c r="AM108" s="85"/>
      <c r="AN108" s="85"/>
      <c r="AO108" s="85"/>
      <c r="AP108" s="85"/>
      <c r="AQ108" s="85"/>
      <c r="AR108" s="85"/>
      <c r="AS108" s="85"/>
      <c r="AT108" s="85"/>
      <c r="AU108" s="85"/>
      <c r="AV108" s="85"/>
      <c r="AW108" s="85"/>
      <c r="AX108" s="85"/>
      <c r="AY108" s="85"/>
      <c r="AZ108" s="85"/>
      <c r="BA108" s="85"/>
      <c r="BB108" s="85"/>
      <c r="BC108" s="85"/>
      <c r="BD108" s="85"/>
      <c r="BE108" s="85"/>
      <c r="BF108" s="85"/>
      <c r="BG108" s="85"/>
      <c r="BH108" s="85"/>
      <c r="BI108" s="85"/>
      <c r="BJ108" s="85"/>
      <c r="BK108" s="85"/>
      <c r="BL108" s="85"/>
      <c r="BM108" s="85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85"/>
      <c r="CG108" s="85"/>
      <c r="CH108" s="85"/>
      <c r="CI108" s="85"/>
      <c r="CJ108" s="85"/>
      <c r="CK108" s="85"/>
      <c r="CL108" s="85"/>
      <c r="CM108" s="85"/>
      <c r="CN108" s="85"/>
      <c r="CO108" s="85"/>
      <c r="CP108" s="85"/>
      <c r="CQ108" s="85"/>
      <c r="CR108" s="85"/>
      <c r="CS108" s="85"/>
      <c r="CT108" s="85"/>
      <c r="CU108" s="85"/>
      <c r="CV108" s="85"/>
      <c r="CW108" s="85"/>
      <c r="CX108" s="85"/>
      <c r="CY108" s="85"/>
      <c r="CZ108" s="85"/>
      <c r="DA108" s="85"/>
      <c r="DB108" s="85"/>
      <c r="DC108" s="85"/>
      <c r="DD108" s="85"/>
      <c r="DE108" s="85"/>
      <c r="DF108" s="85"/>
      <c r="DG108" s="85"/>
      <c r="DH108" s="85"/>
      <c r="DI108" s="85"/>
      <c r="DJ108" s="85"/>
      <c r="DK108" s="85"/>
      <c r="DL108" s="85"/>
      <c r="DM108" s="85"/>
      <c r="DN108" s="85"/>
      <c r="DO108" s="85"/>
      <c r="DP108" s="85"/>
      <c r="DQ108" s="85"/>
      <c r="DR108" s="85"/>
      <c r="DS108" s="85"/>
      <c r="DT108" s="85"/>
      <c r="DU108" s="85"/>
      <c r="DV108" s="85"/>
      <c r="DW108" s="85"/>
      <c r="DX108" s="85"/>
      <c r="DY108" s="85"/>
      <c r="DZ108" s="85"/>
      <c r="EA108" s="85"/>
      <c r="EB108" s="85"/>
      <c r="EC108" s="85"/>
      <c r="ED108" s="85"/>
      <c r="EE108" s="85"/>
      <c r="EF108" s="85"/>
      <c r="EG108" s="85"/>
      <c r="EH108" s="85"/>
      <c r="EI108" s="85"/>
      <c r="EJ108" s="85"/>
      <c r="EK108" s="85"/>
      <c r="EL108" s="85"/>
      <c r="EM108" s="85"/>
      <c r="EN108" s="85"/>
      <c r="EO108" s="85"/>
      <c r="EP108" s="85"/>
      <c r="EQ108" s="85"/>
      <c r="ER108" s="85"/>
      <c r="ES108" s="85"/>
      <c r="ET108" s="85"/>
      <c r="EU108" s="85"/>
      <c r="EV108" s="85"/>
      <c r="EW108" s="85"/>
      <c r="EX108" s="85"/>
      <c r="EY108" s="85"/>
      <c r="EZ108" s="85"/>
      <c r="FA108" s="85"/>
      <c r="FB108" s="85"/>
      <c r="FC108" s="85"/>
      <c r="FD108" s="85"/>
      <c r="FE108" s="85"/>
      <c r="FF108" s="85"/>
      <c r="FG108" s="85"/>
      <c r="FH108" s="85"/>
      <c r="FI108" s="85"/>
      <c r="FJ108" s="85"/>
      <c r="FK108" s="85"/>
      <c r="FL108" s="85"/>
      <c r="FM108" s="85"/>
      <c r="FN108" s="85"/>
      <c r="FO108" s="85"/>
      <c r="FP108" s="85"/>
      <c r="FQ108" s="85"/>
      <c r="FR108" s="85"/>
      <c r="FS108" s="85"/>
      <c r="FT108" s="85"/>
      <c r="FU108" s="85"/>
      <c r="FV108" s="85"/>
      <c r="FW108" s="85"/>
      <c r="FX108" s="85"/>
      <c r="FY108" s="85"/>
      <c r="FZ108" s="85"/>
      <c r="GA108" s="85"/>
      <c r="GB108" s="85"/>
      <c r="GC108" s="85"/>
    </row>
    <row r="109" spans="1:185" x14ac:dyDescent="0.35">
      <c r="A109" s="85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5"/>
      <c r="AM109" s="85"/>
      <c r="AN109" s="85"/>
      <c r="AO109" s="85"/>
      <c r="AP109" s="85"/>
      <c r="AQ109" s="85"/>
      <c r="AR109" s="85"/>
      <c r="AS109" s="85"/>
      <c r="AT109" s="85"/>
      <c r="AU109" s="85"/>
      <c r="AV109" s="85"/>
      <c r="AW109" s="85"/>
      <c r="AX109" s="85"/>
      <c r="AY109" s="85"/>
      <c r="AZ109" s="85"/>
      <c r="BA109" s="85"/>
      <c r="BB109" s="85"/>
      <c r="BC109" s="85"/>
      <c r="BD109" s="85"/>
      <c r="BE109" s="85"/>
      <c r="BF109" s="85"/>
      <c r="BG109" s="85"/>
      <c r="BH109" s="85"/>
      <c r="BI109" s="85"/>
      <c r="BJ109" s="85"/>
      <c r="BK109" s="85"/>
      <c r="BL109" s="85"/>
      <c r="BM109" s="85"/>
      <c r="BN109" s="85"/>
      <c r="BO109" s="85"/>
      <c r="BP109" s="85"/>
      <c r="BQ109" s="85"/>
      <c r="BR109" s="85"/>
      <c r="BS109" s="85"/>
      <c r="BT109" s="85"/>
      <c r="BU109" s="85"/>
      <c r="BV109" s="85"/>
      <c r="BW109" s="85"/>
      <c r="BX109" s="85"/>
      <c r="BY109" s="85"/>
      <c r="BZ109" s="85"/>
      <c r="CA109" s="85"/>
      <c r="CB109" s="85"/>
      <c r="CC109" s="85"/>
      <c r="CD109" s="85"/>
      <c r="CE109" s="85"/>
      <c r="CF109" s="85"/>
      <c r="CG109" s="85"/>
      <c r="CH109" s="85"/>
      <c r="CI109" s="85"/>
      <c r="CJ109" s="85"/>
      <c r="CK109" s="85"/>
      <c r="CL109" s="85"/>
      <c r="CM109" s="85"/>
      <c r="CN109" s="85"/>
      <c r="CO109" s="85"/>
      <c r="CP109" s="85"/>
      <c r="CQ109" s="85"/>
      <c r="CR109" s="85"/>
      <c r="CS109" s="85"/>
      <c r="CT109" s="85"/>
      <c r="CU109" s="85"/>
      <c r="CV109" s="85"/>
      <c r="CW109" s="85"/>
      <c r="CX109" s="85"/>
      <c r="CY109" s="85"/>
      <c r="CZ109" s="85"/>
      <c r="DA109" s="85"/>
      <c r="DB109" s="85"/>
      <c r="DC109" s="85"/>
      <c r="DD109" s="85"/>
      <c r="DE109" s="85"/>
      <c r="DF109" s="85"/>
      <c r="DG109" s="85"/>
      <c r="DH109" s="85"/>
      <c r="DI109" s="85"/>
      <c r="DJ109" s="85"/>
      <c r="DK109" s="85"/>
      <c r="DL109" s="85"/>
      <c r="DM109" s="85"/>
      <c r="DN109" s="85"/>
      <c r="DO109" s="85"/>
      <c r="DP109" s="85"/>
      <c r="DQ109" s="85"/>
      <c r="DR109" s="85"/>
      <c r="DS109" s="85"/>
      <c r="DT109" s="85"/>
      <c r="DU109" s="85"/>
      <c r="DV109" s="85"/>
      <c r="DW109" s="85"/>
      <c r="DX109" s="85"/>
      <c r="DY109" s="85"/>
      <c r="DZ109" s="85"/>
      <c r="EA109" s="85"/>
      <c r="EB109" s="85"/>
      <c r="EC109" s="85"/>
      <c r="ED109" s="85"/>
      <c r="EE109" s="85"/>
      <c r="EF109" s="85"/>
      <c r="EG109" s="85"/>
      <c r="EH109" s="85"/>
      <c r="EI109" s="85"/>
      <c r="EJ109" s="85"/>
      <c r="EK109" s="85"/>
      <c r="EL109" s="85"/>
      <c r="EM109" s="85"/>
      <c r="EN109" s="85"/>
      <c r="EO109" s="85"/>
      <c r="EP109" s="85"/>
      <c r="EQ109" s="85"/>
      <c r="ER109" s="85"/>
      <c r="ES109" s="85"/>
      <c r="ET109" s="85"/>
      <c r="EU109" s="85"/>
      <c r="EV109" s="85"/>
      <c r="EW109" s="85"/>
      <c r="EX109" s="85"/>
      <c r="EY109" s="85"/>
      <c r="EZ109" s="85"/>
      <c r="FA109" s="85"/>
      <c r="FB109" s="85"/>
      <c r="FC109" s="85"/>
      <c r="FD109" s="85"/>
      <c r="FE109" s="85"/>
      <c r="FF109" s="85"/>
      <c r="FG109" s="85"/>
      <c r="FH109" s="85"/>
      <c r="FI109" s="85"/>
      <c r="FJ109" s="85"/>
      <c r="FK109" s="85"/>
      <c r="FL109" s="85"/>
      <c r="FM109" s="85"/>
      <c r="FN109" s="85"/>
      <c r="FO109" s="85"/>
      <c r="FP109" s="85"/>
      <c r="FQ109" s="85"/>
      <c r="FR109" s="85"/>
      <c r="FS109" s="85"/>
      <c r="FT109" s="85"/>
      <c r="FU109" s="85"/>
      <c r="FV109" s="85"/>
      <c r="FW109" s="85"/>
      <c r="FX109" s="85"/>
      <c r="FY109" s="85"/>
      <c r="FZ109" s="85"/>
      <c r="GA109" s="85"/>
      <c r="GB109" s="85"/>
      <c r="GC109" s="85"/>
    </row>
    <row r="110" spans="1:185" x14ac:dyDescent="0.35">
      <c r="A110" s="85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85"/>
      <c r="AU110" s="85"/>
      <c r="AV110" s="85"/>
      <c r="AW110" s="85"/>
      <c r="AX110" s="85"/>
      <c r="AY110" s="85"/>
      <c r="AZ110" s="85"/>
      <c r="BA110" s="85"/>
      <c r="BB110" s="85"/>
      <c r="BC110" s="85"/>
      <c r="BD110" s="85"/>
      <c r="BE110" s="85"/>
      <c r="BF110" s="85"/>
      <c r="BG110" s="85"/>
      <c r="BH110" s="85"/>
      <c r="BI110" s="85"/>
      <c r="BJ110" s="85"/>
      <c r="BK110" s="85"/>
      <c r="BL110" s="85"/>
      <c r="BM110" s="85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  <c r="DF110" s="85"/>
      <c r="DG110" s="85"/>
      <c r="DH110" s="85"/>
      <c r="DI110" s="85"/>
      <c r="DJ110" s="85"/>
      <c r="DK110" s="85"/>
      <c r="DL110" s="85"/>
      <c r="DM110" s="85"/>
      <c r="DN110" s="85"/>
      <c r="DO110" s="85"/>
      <c r="DP110" s="85"/>
      <c r="DQ110" s="85"/>
      <c r="DR110" s="85"/>
      <c r="DS110" s="85"/>
      <c r="DT110" s="85"/>
      <c r="DU110" s="85"/>
      <c r="DV110" s="85"/>
      <c r="DW110" s="85"/>
      <c r="DX110" s="85"/>
      <c r="DY110" s="85"/>
      <c r="DZ110" s="85"/>
      <c r="EA110" s="85"/>
      <c r="EB110" s="85"/>
      <c r="EC110" s="85"/>
      <c r="ED110" s="85"/>
      <c r="EE110" s="85"/>
      <c r="EF110" s="85"/>
      <c r="EG110" s="85"/>
      <c r="EH110" s="85"/>
      <c r="EI110" s="85"/>
      <c r="EJ110" s="85"/>
      <c r="EK110" s="85"/>
      <c r="EL110" s="85"/>
      <c r="EM110" s="85"/>
      <c r="EN110" s="85"/>
      <c r="EO110" s="85"/>
      <c r="EP110" s="85"/>
      <c r="EQ110" s="85"/>
      <c r="ER110" s="85"/>
      <c r="ES110" s="85"/>
      <c r="ET110" s="85"/>
      <c r="EU110" s="85"/>
      <c r="EV110" s="85"/>
      <c r="EW110" s="85"/>
      <c r="EX110" s="85"/>
      <c r="EY110" s="85"/>
      <c r="EZ110" s="85"/>
      <c r="FA110" s="85"/>
      <c r="FB110" s="85"/>
      <c r="FC110" s="85"/>
      <c r="FD110" s="85"/>
      <c r="FE110" s="85"/>
      <c r="FF110" s="85"/>
      <c r="FG110" s="85"/>
      <c r="FH110" s="85"/>
      <c r="FI110" s="85"/>
      <c r="FJ110" s="85"/>
      <c r="FK110" s="85"/>
      <c r="FL110" s="85"/>
      <c r="FM110" s="85"/>
      <c r="FN110" s="85"/>
      <c r="FO110" s="85"/>
      <c r="FP110" s="85"/>
      <c r="FQ110" s="85"/>
      <c r="FR110" s="85"/>
      <c r="FS110" s="85"/>
      <c r="FT110" s="85"/>
      <c r="FU110" s="85"/>
      <c r="FV110" s="85"/>
      <c r="FW110" s="85"/>
      <c r="FX110" s="85"/>
      <c r="FY110" s="85"/>
      <c r="FZ110" s="85"/>
      <c r="GA110" s="85"/>
      <c r="GB110" s="85"/>
      <c r="GC110" s="85"/>
    </row>
    <row r="111" spans="1:185" x14ac:dyDescent="0.3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85"/>
      <c r="AP111" s="85"/>
      <c r="AQ111" s="85"/>
      <c r="AR111" s="85"/>
      <c r="AS111" s="85"/>
      <c r="AT111" s="85"/>
      <c r="AU111" s="85"/>
      <c r="AV111" s="85"/>
      <c r="AW111" s="85"/>
      <c r="AX111" s="85"/>
      <c r="AY111" s="85"/>
      <c r="AZ111" s="85"/>
      <c r="BA111" s="85"/>
      <c r="BB111" s="85"/>
      <c r="BC111" s="85"/>
      <c r="BD111" s="85"/>
      <c r="BE111" s="85"/>
      <c r="BF111" s="85"/>
      <c r="BG111" s="85"/>
      <c r="BH111" s="85"/>
      <c r="BI111" s="85"/>
      <c r="BJ111" s="85"/>
      <c r="BK111" s="85"/>
      <c r="BL111" s="85"/>
      <c r="BM111" s="85"/>
      <c r="BN111" s="85"/>
      <c r="BO111" s="85"/>
      <c r="BP111" s="85"/>
      <c r="BQ111" s="85"/>
      <c r="BR111" s="85"/>
      <c r="BS111" s="85"/>
      <c r="BT111" s="85"/>
      <c r="BU111" s="85"/>
      <c r="BV111" s="85"/>
      <c r="BW111" s="85"/>
      <c r="BX111" s="85"/>
      <c r="BY111" s="85"/>
      <c r="BZ111" s="85"/>
      <c r="CA111" s="85"/>
      <c r="CB111" s="85"/>
      <c r="CC111" s="85"/>
      <c r="CD111" s="85"/>
      <c r="CE111" s="85"/>
      <c r="CF111" s="85"/>
      <c r="CG111" s="85"/>
      <c r="CH111" s="85"/>
      <c r="CI111" s="85"/>
      <c r="CJ111" s="85"/>
      <c r="CK111" s="85"/>
      <c r="CL111" s="85"/>
      <c r="CM111" s="85"/>
      <c r="CN111" s="85"/>
      <c r="CO111" s="85"/>
      <c r="CP111" s="85"/>
      <c r="CQ111" s="85"/>
      <c r="CR111" s="85"/>
      <c r="CS111" s="85"/>
      <c r="CT111" s="85"/>
      <c r="CU111" s="85"/>
      <c r="CV111" s="85"/>
      <c r="CW111" s="85"/>
      <c r="CX111" s="85"/>
      <c r="CY111" s="85"/>
      <c r="CZ111" s="85"/>
      <c r="DA111" s="85"/>
      <c r="DB111" s="85"/>
      <c r="DC111" s="85"/>
      <c r="DD111" s="85"/>
      <c r="DE111" s="85"/>
      <c r="DF111" s="85"/>
      <c r="DG111" s="85"/>
      <c r="DH111" s="85"/>
      <c r="DI111" s="85"/>
      <c r="DJ111" s="85"/>
      <c r="DK111" s="85"/>
      <c r="DL111" s="85"/>
      <c r="DM111" s="85"/>
      <c r="DN111" s="85"/>
      <c r="DO111" s="85"/>
      <c r="DP111" s="85"/>
      <c r="DQ111" s="85"/>
      <c r="DR111" s="85"/>
      <c r="DS111" s="85"/>
      <c r="DT111" s="85"/>
      <c r="DU111" s="85"/>
      <c r="DV111" s="85"/>
      <c r="DW111" s="85"/>
      <c r="DX111" s="85"/>
      <c r="DY111" s="85"/>
      <c r="DZ111" s="85"/>
      <c r="EA111" s="85"/>
      <c r="EB111" s="85"/>
      <c r="EC111" s="85"/>
      <c r="ED111" s="85"/>
      <c r="EE111" s="85"/>
      <c r="EF111" s="85"/>
      <c r="EG111" s="85"/>
      <c r="EH111" s="85"/>
      <c r="EI111" s="85"/>
      <c r="EJ111" s="85"/>
      <c r="EK111" s="85"/>
      <c r="EL111" s="85"/>
      <c r="EM111" s="85"/>
      <c r="EN111" s="85"/>
      <c r="EO111" s="85"/>
      <c r="EP111" s="85"/>
      <c r="EQ111" s="85"/>
      <c r="ER111" s="85"/>
      <c r="ES111" s="85"/>
      <c r="ET111" s="85"/>
      <c r="EU111" s="85"/>
      <c r="EV111" s="85"/>
      <c r="EW111" s="85"/>
      <c r="EX111" s="85"/>
      <c r="EY111" s="85"/>
      <c r="EZ111" s="85"/>
      <c r="FA111" s="85"/>
      <c r="FB111" s="85"/>
      <c r="FC111" s="85"/>
      <c r="FD111" s="85"/>
      <c r="FE111" s="85"/>
      <c r="FF111" s="85"/>
      <c r="FG111" s="85"/>
      <c r="FH111" s="85"/>
      <c r="FI111" s="85"/>
      <c r="FJ111" s="85"/>
      <c r="FK111" s="85"/>
      <c r="FL111" s="85"/>
      <c r="FM111" s="85"/>
      <c r="FN111" s="85"/>
      <c r="FO111" s="85"/>
      <c r="FP111" s="85"/>
      <c r="FQ111" s="85"/>
      <c r="FR111" s="85"/>
      <c r="FS111" s="85"/>
      <c r="FT111" s="85"/>
      <c r="FU111" s="85"/>
      <c r="FV111" s="85"/>
      <c r="FW111" s="85"/>
      <c r="FX111" s="85"/>
      <c r="FY111" s="85"/>
      <c r="FZ111" s="85"/>
      <c r="GA111" s="85"/>
      <c r="GB111" s="85"/>
      <c r="GC111" s="85"/>
    </row>
    <row r="112" spans="1:185" x14ac:dyDescent="0.35">
      <c r="A112" s="85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85"/>
      <c r="AN112" s="85"/>
      <c r="AO112" s="85"/>
      <c r="AP112" s="85"/>
      <c r="AQ112" s="85"/>
      <c r="AR112" s="85"/>
      <c r="AS112" s="85"/>
      <c r="AT112" s="85"/>
      <c r="AU112" s="85"/>
      <c r="AV112" s="85"/>
      <c r="AW112" s="85"/>
      <c r="AX112" s="85"/>
      <c r="AY112" s="85"/>
      <c r="AZ112" s="85"/>
      <c r="BA112" s="85"/>
      <c r="BB112" s="85"/>
      <c r="BC112" s="85"/>
      <c r="BD112" s="85"/>
      <c r="BE112" s="85"/>
      <c r="BF112" s="85"/>
      <c r="BG112" s="85"/>
      <c r="BH112" s="85"/>
      <c r="BI112" s="85"/>
      <c r="BJ112" s="85"/>
      <c r="BK112" s="85"/>
      <c r="BL112" s="85"/>
      <c r="BM112" s="85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  <c r="DF112" s="85"/>
      <c r="DG112" s="85"/>
      <c r="DH112" s="85"/>
      <c r="DI112" s="85"/>
      <c r="DJ112" s="85"/>
      <c r="DK112" s="85"/>
      <c r="DL112" s="85"/>
      <c r="DM112" s="85"/>
      <c r="DN112" s="85"/>
      <c r="DO112" s="85"/>
      <c r="DP112" s="85"/>
      <c r="DQ112" s="85"/>
      <c r="DR112" s="85"/>
      <c r="DS112" s="85"/>
      <c r="DT112" s="85"/>
      <c r="DU112" s="85"/>
      <c r="DV112" s="85"/>
      <c r="DW112" s="85"/>
      <c r="DX112" s="85"/>
      <c r="DY112" s="85"/>
      <c r="DZ112" s="85"/>
      <c r="EA112" s="85"/>
      <c r="EB112" s="85"/>
      <c r="EC112" s="85"/>
      <c r="ED112" s="85"/>
      <c r="EE112" s="85"/>
      <c r="EF112" s="85"/>
      <c r="EG112" s="85"/>
      <c r="EH112" s="85"/>
      <c r="EI112" s="85"/>
      <c r="EJ112" s="85"/>
      <c r="EK112" s="85"/>
      <c r="EL112" s="85"/>
      <c r="EM112" s="85"/>
      <c r="EN112" s="85"/>
      <c r="EO112" s="85"/>
      <c r="EP112" s="85"/>
      <c r="EQ112" s="85"/>
      <c r="ER112" s="85"/>
      <c r="ES112" s="85"/>
      <c r="ET112" s="85"/>
      <c r="EU112" s="85"/>
      <c r="EV112" s="85"/>
      <c r="EW112" s="85"/>
      <c r="EX112" s="85"/>
      <c r="EY112" s="85"/>
      <c r="EZ112" s="85"/>
      <c r="FA112" s="85"/>
      <c r="FB112" s="85"/>
      <c r="FC112" s="85"/>
      <c r="FD112" s="85"/>
      <c r="FE112" s="85"/>
      <c r="FF112" s="85"/>
      <c r="FG112" s="85"/>
      <c r="FH112" s="85"/>
      <c r="FI112" s="85"/>
      <c r="FJ112" s="85"/>
      <c r="FK112" s="85"/>
      <c r="FL112" s="85"/>
      <c r="FM112" s="85"/>
      <c r="FN112" s="85"/>
      <c r="FO112" s="85"/>
      <c r="FP112" s="85"/>
      <c r="FQ112" s="85"/>
      <c r="FR112" s="85"/>
      <c r="FS112" s="85"/>
      <c r="FT112" s="85"/>
      <c r="FU112" s="85"/>
      <c r="FV112" s="85"/>
      <c r="FW112" s="85"/>
      <c r="FX112" s="85"/>
      <c r="FY112" s="85"/>
      <c r="FZ112" s="85"/>
      <c r="GA112" s="85"/>
      <c r="GB112" s="85"/>
      <c r="GC112" s="85"/>
    </row>
    <row r="113" spans="1:185" x14ac:dyDescent="0.35">
      <c r="A113" s="85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5"/>
      <c r="AM113" s="85"/>
      <c r="AN113" s="85"/>
      <c r="AO113" s="85"/>
      <c r="AP113" s="85"/>
      <c r="AQ113" s="85"/>
      <c r="AR113" s="85"/>
      <c r="AS113" s="85"/>
      <c r="AT113" s="85"/>
      <c r="AU113" s="85"/>
      <c r="AV113" s="85"/>
      <c r="AW113" s="85"/>
      <c r="AX113" s="85"/>
      <c r="AY113" s="85"/>
      <c r="AZ113" s="85"/>
      <c r="BA113" s="85"/>
      <c r="BB113" s="85"/>
      <c r="BC113" s="85"/>
      <c r="BD113" s="85"/>
      <c r="BE113" s="85"/>
      <c r="BF113" s="85"/>
      <c r="BG113" s="85"/>
      <c r="BH113" s="85"/>
      <c r="BI113" s="85"/>
      <c r="BJ113" s="85"/>
      <c r="BK113" s="85"/>
      <c r="BL113" s="85"/>
      <c r="BM113" s="85"/>
      <c r="BN113" s="85"/>
      <c r="BO113" s="85"/>
      <c r="BP113" s="85"/>
      <c r="BQ113" s="85"/>
      <c r="BR113" s="85"/>
      <c r="BS113" s="85"/>
      <c r="BT113" s="85"/>
      <c r="BU113" s="85"/>
      <c r="BV113" s="85"/>
      <c r="BW113" s="85"/>
      <c r="BX113" s="85"/>
      <c r="BY113" s="85"/>
      <c r="BZ113" s="85"/>
      <c r="CA113" s="85"/>
      <c r="CB113" s="85"/>
      <c r="CC113" s="85"/>
      <c r="CD113" s="85"/>
      <c r="CE113" s="85"/>
      <c r="CF113" s="85"/>
      <c r="CG113" s="85"/>
      <c r="CH113" s="85"/>
      <c r="CI113" s="85"/>
      <c r="CJ113" s="85"/>
      <c r="CK113" s="85"/>
      <c r="CL113" s="85"/>
      <c r="CM113" s="85"/>
      <c r="CN113" s="85"/>
      <c r="CO113" s="85"/>
      <c r="CP113" s="85"/>
      <c r="CQ113" s="85"/>
      <c r="CR113" s="85"/>
      <c r="CS113" s="85"/>
      <c r="CT113" s="85"/>
      <c r="CU113" s="85"/>
      <c r="CV113" s="85"/>
      <c r="CW113" s="85"/>
      <c r="CX113" s="85"/>
      <c r="CY113" s="85"/>
      <c r="CZ113" s="85"/>
      <c r="DA113" s="85"/>
      <c r="DB113" s="85"/>
      <c r="DC113" s="85"/>
      <c r="DD113" s="85"/>
      <c r="DE113" s="85"/>
      <c r="DF113" s="85"/>
      <c r="DG113" s="85"/>
      <c r="DH113" s="85"/>
      <c r="DI113" s="85"/>
      <c r="DJ113" s="85"/>
      <c r="DK113" s="85"/>
      <c r="DL113" s="85"/>
      <c r="DM113" s="85"/>
      <c r="DN113" s="85"/>
      <c r="DO113" s="85"/>
      <c r="DP113" s="85"/>
      <c r="DQ113" s="85"/>
      <c r="DR113" s="85"/>
      <c r="DS113" s="85"/>
      <c r="DT113" s="85"/>
      <c r="DU113" s="85"/>
      <c r="DV113" s="85"/>
      <c r="DW113" s="85"/>
      <c r="DX113" s="85"/>
      <c r="DY113" s="85"/>
      <c r="DZ113" s="85"/>
      <c r="EA113" s="85"/>
      <c r="EB113" s="85"/>
      <c r="EC113" s="85"/>
      <c r="ED113" s="85"/>
      <c r="EE113" s="85"/>
      <c r="EF113" s="85"/>
      <c r="EG113" s="85"/>
      <c r="EH113" s="85"/>
      <c r="EI113" s="85"/>
      <c r="EJ113" s="85"/>
      <c r="EK113" s="85"/>
      <c r="EL113" s="85"/>
      <c r="EM113" s="85"/>
      <c r="EN113" s="85"/>
      <c r="EO113" s="85"/>
      <c r="EP113" s="85"/>
      <c r="EQ113" s="85"/>
      <c r="ER113" s="85"/>
      <c r="ES113" s="85"/>
      <c r="ET113" s="85"/>
      <c r="EU113" s="85"/>
      <c r="EV113" s="85"/>
      <c r="EW113" s="85"/>
      <c r="EX113" s="85"/>
      <c r="EY113" s="85"/>
      <c r="EZ113" s="85"/>
      <c r="FA113" s="85"/>
      <c r="FB113" s="85"/>
      <c r="FC113" s="85"/>
      <c r="FD113" s="85"/>
      <c r="FE113" s="85"/>
      <c r="FF113" s="85"/>
      <c r="FG113" s="85"/>
      <c r="FH113" s="85"/>
      <c r="FI113" s="85"/>
      <c r="FJ113" s="85"/>
      <c r="FK113" s="85"/>
      <c r="FL113" s="85"/>
      <c r="FM113" s="85"/>
      <c r="FN113" s="85"/>
      <c r="FO113" s="85"/>
      <c r="FP113" s="85"/>
      <c r="FQ113" s="85"/>
      <c r="FR113" s="85"/>
      <c r="FS113" s="85"/>
      <c r="FT113" s="85"/>
      <c r="FU113" s="85"/>
      <c r="FV113" s="85"/>
      <c r="FW113" s="85"/>
      <c r="FX113" s="85"/>
      <c r="FY113" s="85"/>
      <c r="FZ113" s="85"/>
      <c r="GA113" s="85"/>
      <c r="GB113" s="85"/>
      <c r="GC113" s="85"/>
    </row>
    <row r="114" spans="1:185" x14ac:dyDescent="0.35">
      <c r="A114" s="85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5"/>
      <c r="AM114" s="85"/>
      <c r="AN114" s="85"/>
      <c r="AO114" s="85"/>
      <c r="AP114" s="85"/>
      <c r="AQ114" s="85"/>
      <c r="AR114" s="85"/>
      <c r="AS114" s="85"/>
      <c r="AT114" s="85"/>
      <c r="AU114" s="85"/>
      <c r="AV114" s="85"/>
      <c r="AW114" s="85"/>
      <c r="AX114" s="85"/>
      <c r="AY114" s="85"/>
      <c r="AZ114" s="85"/>
      <c r="BA114" s="85"/>
      <c r="BB114" s="85"/>
      <c r="BC114" s="85"/>
      <c r="BD114" s="85"/>
      <c r="BE114" s="85"/>
      <c r="BF114" s="85"/>
      <c r="BG114" s="85"/>
      <c r="BH114" s="85"/>
      <c r="BI114" s="85"/>
      <c r="BJ114" s="85"/>
      <c r="BK114" s="85"/>
      <c r="BL114" s="85"/>
      <c r="BM114" s="85"/>
      <c r="BN114" s="85"/>
      <c r="BO114" s="85"/>
      <c r="BP114" s="85"/>
      <c r="BQ114" s="85"/>
      <c r="BR114" s="85"/>
      <c r="BS114" s="85"/>
      <c r="BT114" s="85"/>
      <c r="BU114" s="85"/>
      <c r="BV114" s="85"/>
      <c r="BW114" s="85"/>
      <c r="BX114" s="85"/>
      <c r="BY114" s="85"/>
      <c r="BZ114" s="85"/>
      <c r="CA114" s="85"/>
      <c r="CB114" s="85"/>
      <c r="CC114" s="85"/>
      <c r="CD114" s="85"/>
      <c r="CE114" s="85"/>
      <c r="CF114" s="85"/>
      <c r="CG114" s="85"/>
      <c r="CH114" s="85"/>
      <c r="CI114" s="85"/>
      <c r="CJ114" s="85"/>
      <c r="CK114" s="85"/>
      <c r="CL114" s="85"/>
      <c r="CM114" s="85"/>
      <c r="CN114" s="85"/>
      <c r="CO114" s="85"/>
      <c r="CP114" s="85"/>
      <c r="CQ114" s="85"/>
      <c r="CR114" s="85"/>
      <c r="CS114" s="85"/>
      <c r="CT114" s="85"/>
      <c r="CU114" s="85"/>
      <c r="CV114" s="85"/>
      <c r="CW114" s="85"/>
      <c r="CX114" s="85"/>
      <c r="CY114" s="85"/>
      <c r="CZ114" s="85"/>
      <c r="DA114" s="85"/>
      <c r="DB114" s="85"/>
      <c r="DC114" s="85"/>
      <c r="DD114" s="85"/>
      <c r="DE114" s="85"/>
      <c r="DF114" s="85"/>
      <c r="DG114" s="85"/>
      <c r="DH114" s="85"/>
      <c r="DI114" s="85"/>
      <c r="DJ114" s="85"/>
      <c r="DK114" s="85"/>
      <c r="DL114" s="85"/>
      <c r="DM114" s="85"/>
      <c r="DN114" s="85"/>
      <c r="DO114" s="85"/>
      <c r="DP114" s="85"/>
      <c r="DQ114" s="85"/>
      <c r="DR114" s="85"/>
      <c r="DS114" s="85"/>
      <c r="DT114" s="85"/>
      <c r="DU114" s="85"/>
      <c r="DV114" s="85"/>
      <c r="DW114" s="85"/>
      <c r="DX114" s="85"/>
      <c r="DY114" s="85"/>
      <c r="DZ114" s="85"/>
      <c r="EA114" s="85"/>
      <c r="EB114" s="85"/>
      <c r="EC114" s="85"/>
      <c r="ED114" s="85"/>
      <c r="EE114" s="85"/>
      <c r="EF114" s="85"/>
      <c r="EG114" s="85"/>
      <c r="EH114" s="85"/>
      <c r="EI114" s="85"/>
      <c r="EJ114" s="85"/>
      <c r="EK114" s="85"/>
      <c r="EL114" s="85"/>
      <c r="EM114" s="85"/>
      <c r="EN114" s="85"/>
      <c r="EO114" s="85"/>
      <c r="EP114" s="85"/>
      <c r="EQ114" s="85"/>
      <c r="ER114" s="85"/>
      <c r="ES114" s="85"/>
      <c r="ET114" s="85"/>
      <c r="EU114" s="85"/>
      <c r="EV114" s="85"/>
      <c r="EW114" s="85"/>
      <c r="EX114" s="85"/>
      <c r="EY114" s="85"/>
      <c r="EZ114" s="85"/>
      <c r="FA114" s="85"/>
      <c r="FB114" s="85"/>
      <c r="FC114" s="85"/>
      <c r="FD114" s="85"/>
      <c r="FE114" s="85"/>
      <c r="FF114" s="85"/>
      <c r="FG114" s="85"/>
      <c r="FH114" s="85"/>
      <c r="FI114" s="85"/>
      <c r="FJ114" s="85"/>
      <c r="FK114" s="85"/>
      <c r="FL114" s="85"/>
      <c r="FM114" s="85"/>
      <c r="FN114" s="85"/>
      <c r="FO114" s="85"/>
      <c r="FP114" s="85"/>
      <c r="FQ114" s="85"/>
      <c r="FR114" s="85"/>
      <c r="FS114" s="85"/>
      <c r="FT114" s="85"/>
      <c r="FU114" s="85"/>
      <c r="FV114" s="85"/>
      <c r="FW114" s="85"/>
      <c r="FX114" s="85"/>
      <c r="FY114" s="85"/>
      <c r="FZ114" s="85"/>
      <c r="GA114" s="85"/>
      <c r="GB114" s="85"/>
      <c r="GC114" s="85"/>
    </row>
    <row r="115" spans="1:185" x14ac:dyDescent="0.35">
      <c r="A115" s="85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5"/>
      <c r="AM115" s="85"/>
      <c r="AN115" s="85"/>
      <c r="AO115" s="85"/>
      <c r="AP115" s="85"/>
      <c r="AQ115" s="85"/>
      <c r="AR115" s="85"/>
      <c r="AS115" s="85"/>
      <c r="AT115" s="85"/>
      <c r="AU115" s="85"/>
      <c r="AV115" s="85"/>
      <c r="AW115" s="85"/>
      <c r="AX115" s="85"/>
      <c r="AY115" s="85"/>
      <c r="AZ115" s="85"/>
      <c r="BA115" s="85"/>
      <c r="BB115" s="85"/>
      <c r="BC115" s="85"/>
      <c r="BD115" s="85"/>
      <c r="BE115" s="85"/>
      <c r="BF115" s="85"/>
      <c r="BG115" s="85"/>
      <c r="BH115" s="85"/>
      <c r="BI115" s="85"/>
      <c r="BJ115" s="85"/>
      <c r="BK115" s="85"/>
      <c r="BL115" s="85"/>
      <c r="BM115" s="85"/>
      <c r="BN115" s="85"/>
      <c r="BO115" s="85"/>
      <c r="BP115" s="85"/>
      <c r="BQ115" s="85"/>
      <c r="BR115" s="85"/>
      <c r="BS115" s="85"/>
      <c r="BT115" s="85"/>
      <c r="BU115" s="85"/>
      <c r="BV115" s="85"/>
      <c r="BW115" s="85"/>
      <c r="BX115" s="85"/>
      <c r="BY115" s="85"/>
      <c r="BZ115" s="85"/>
      <c r="CA115" s="85"/>
      <c r="CB115" s="85"/>
      <c r="CC115" s="85"/>
      <c r="CD115" s="85"/>
      <c r="CE115" s="85"/>
      <c r="CF115" s="85"/>
      <c r="CG115" s="85"/>
      <c r="CH115" s="85"/>
      <c r="CI115" s="85"/>
      <c r="CJ115" s="85"/>
      <c r="CK115" s="85"/>
      <c r="CL115" s="85"/>
      <c r="CM115" s="85"/>
      <c r="CN115" s="85"/>
      <c r="CO115" s="85"/>
      <c r="CP115" s="85"/>
      <c r="CQ115" s="85"/>
      <c r="CR115" s="85"/>
      <c r="CS115" s="85"/>
      <c r="CT115" s="85"/>
      <c r="CU115" s="85"/>
      <c r="CV115" s="85"/>
      <c r="CW115" s="85"/>
      <c r="CX115" s="85"/>
      <c r="CY115" s="85"/>
      <c r="CZ115" s="85"/>
      <c r="DA115" s="85"/>
      <c r="DB115" s="85"/>
      <c r="DC115" s="85"/>
      <c r="DD115" s="85"/>
      <c r="DE115" s="85"/>
      <c r="DF115" s="85"/>
      <c r="DG115" s="85"/>
      <c r="DH115" s="85"/>
      <c r="DI115" s="85"/>
      <c r="DJ115" s="85"/>
      <c r="DK115" s="85"/>
      <c r="DL115" s="85"/>
      <c r="DM115" s="85"/>
      <c r="DN115" s="85"/>
      <c r="DO115" s="85"/>
      <c r="DP115" s="85"/>
      <c r="DQ115" s="85"/>
      <c r="DR115" s="85"/>
      <c r="DS115" s="85"/>
      <c r="DT115" s="85"/>
      <c r="DU115" s="85"/>
      <c r="DV115" s="85"/>
      <c r="DW115" s="85"/>
      <c r="DX115" s="85"/>
      <c r="DY115" s="85"/>
      <c r="DZ115" s="85"/>
      <c r="EA115" s="85"/>
      <c r="EB115" s="85"/>
      <c r="EC115" s="85"/>
      <c r="ED115" s="85"/>
      <c r="EE115" s="85"/>
      <c r="EF115" s="85"/>
      <c r="EG115" s="85"/>
      <c r="EH115" s="85"/>
      <c r="EI115" s="85"/>
      <c r="EJ115" s="85"/>
      <c r="EK115" s="85"/>
      <c r="EL115" s="85"/>
      <c r="EM115" s="85"/>
      <c r="EN115" s="85"/>
      <c r="EO115" s="85"/>
      <c r="EP115" s="85"/>
      <c r="EQ115" s="85"/>
      <c r="ER115" s="85"/>
      <c r="ES115" s="85"/>
      <c r="ET115" s="85"/>
      <c r="EU115" s="85"/>
      <c r="EV115" s="85"/>
      <c r="EW115" s="85"/>
      <c r="EX115" s="85"/>
      <c r="EY115" s="85"/>
      <c r="EZ115" s="85"/>
      <c r="FA115" s="85"/>
      <c r="FB115" s="85"/>
      <c r="FC115" s="85"/>
      <c r="FD115" s="85"/>
      <c r="FE115" s="85"/>
      <c r="FF115" s="85"/>
      <c r="FG115" s="85"/>
      <c r="FH115" s="85"/>
      <c r="FI115" s="85"/>
      <c r="FJ115" s="85"/>
      <c r="FK115" s="85"/>
      <c r="FL115" s="85"/>
      <c r="FM115" s="85"/>
      <c r="FN115" s="85"/>
      <c r="FO115" s="85"/>
      <c r="FP115" s="85"/>
      <c r="FQ115" s="85"/>
      <c r="FR115" s="85"/>
      <c r="FS115" s="85"/>
      <c r="FT115" s="85"/>
      <c r="FU115" s="85"/>
      <c r="FV115" s="85"/>
      <c r="FW115" s="85"/>
      <c r="FX115" s="85"/>
      <c r="FY115" s="85"/>
      <c r="FZ115" s="85"/>
      <c r="GA115" s="85"/>
      <c r="GB115" s="85"/>
      <c r="GC115" s="85"/>
    </row>
    <row r="116" spans="1:185" x14ac:dyDescent="0.35">
      <c r="A116" s="85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5"/>
      <c r="AM116" s="85"/>
      <c r="AN116" s="85"/>
      <c r="AO116" s="85"/>
      <c r="AP116" s="85"/>
      <c r="AQ116" s="85"/>
      <c r="AR116" s="85"/>
      <c r="AS116" s="85"/>
      <c r="AT116" s="85"/>
      <c r="AU116" s="85"/>
      <c r="AV116" s="85"/>
      <c r="AW116" s="85"/>
      <c r="AX116" s="85"/>
      <c r="AY116" s="85"/>
      <c r="AZ116" s="85"/>
      <c r="BA116" s="85"/>
      <c r="BB116" s="85"/>
      <c r="BC116" s="85"/>
      <c r="BD116" s="85"/>
      <c r="BE116" s="85"/>
      <c r="BF116" s="85"/>
      <c r="BG116" s="85"/>
      <c r="BH116" s="85"/>
      <c r="BI116" s="85"/>
      <c r="BJ116" s="85"/>
      <c r="BK116" s="85"/>
      <c r="BL116" s="85"/>
      <c r="BM116" s="85"/>
      <c r="BN116" s="85"/>
      <c r="BO116" s="85"/>
      <c r="BP116" s="85"/>
      <c r="BQ116" s="85"/>
      <c r="BR116" s="85"/>
      <c r="BS116" s="85"/>
      <c r="BT116" s="85"/>
      <c r="BU116" s="85"/>
      <c r="BV116" s="85"/>
      <c r="BW116" s="85"/>
      <c r="BX116" s="85"/>
      <c r="BY116" s="85"/>
      <c r="BZ116" s="85"/>
      <c r="CA116" s="85"/>
      <c r="CB116" s="85"/>
      <c r="CC116" s="85"/>
      <c r="CD116" s="85"/>
      <c r="CE116" s="85"/>
      <c r="CF116" s="85"/>
      <c r="CG116" s="85"/>
      <c r="CH116" s="85"/>
      <c r="CI116" s="85"/>
      <c r="CJ116" s="85"/>
      <c r="CK116" s="85"/>
      <c r="CL116" s="85"/>
      <c r="CM116" s="85"/>
      <c r="CN116" s="85"/>
      <c r="CO116" s="85"/>
      <c r="CP116" s="85"/>
      <c r="CQ116" s="85"/>
      <c r="CR116" s="85"/>
      <c r="CS116" s="85"/>
      <c r="CT116" s="85"/>
      <c r="CU116" s="85"/>
      <c r="CV116" s="85"/>
      <c r="CW116" s="85"/>
      <c r="CX116" s="85"/>
      <c r="CY116" s="85"/>
      <c r="CZ116" s="85"/>
      <c r="DA116" s="85"/>
      <c r="DB116" s="85"/>
      <c r="DC116" s="85"/>
      <c r="DD116" s="85"/>
      <c r="DE116" s="85"/>
      <c r="DF116" s="85"/>
      <c r="DG116" s="85"/>
      <c r="DH116" s="85"/>
      <c r="DI116" s="85"/>
      <c r="DJ116" s="85"/>
      <c r="DK116" s="85"/>
      <c r="DL116" s="85"/>
      <c r="DM116" s="85"/>
      <c r="DN116" s="85"/>
      <c r="DO116" s="85"/>
      <c r="DP116" s="85"/>
      <c r="DQ116" s="85"/>
      <c r="DR116" s="85"/>
      <c r="DS116" s="85"/>
      <c r="DT116" s="85"/>
      <c r="DU116" s="85"/>
      <c r="DV116" s="85"/>
      <c r="DW116" s="85"/>
      <c r="DX116" s="85"/>
      <c r="DY116" s="85"/>
      <c r="DZ116" s="85"/>
      <c r="EA116" s="85"/>
      <c r="EB116" s="85"/>
      <c r="EC116" s="85"/>
      <c r="ED116" s="85"/>
      <c r="EE116" s="85"/>
      <c r="EF116" s="85"/>
      <c r="EG116" s="85"/>
      <c r="EH116" s="85"/>
      <c r="EI116" s="85"/>
      <c r="EJ116" s="85"/>
      <c r="EK116" s="85"/>
      <c r="EL116" s="85"/>
      <c r="EM116" s="85"/>
      <c r="EN116" s="85"/>
      <c r="EO116" s="85"/>
      <c r="EP116" s="85"/>
      <c r="EQ116" s="85"/>
      <c r="ER116" s="85"/>
      <c r="ES116" s="85"/>
      <c r="ET116" s="85"/>
      <c r="EU116" s="85"/>
      <c r="EV116" s="85"/>
      <c r="EW116" s="85"/>
      <c r="EX116" s="85"/>
      <c r="EY116" s="85"/>
      <c r="EZ116" s="85"/>
      <c r="FA116" s="85"/>
      <c r="FB116" s="85"/>
      <c r="FC116" s="85"/>
      <c r="FD116" s="85"/>
      <c r="FE116" s="85"/>
      <c r="FF116" s="85"/>
      <c r="FG116" s="85"/>
      <c r="FH116" s="85"/>
      <c r="FI116" s="85"/>
      <c r="FJ116" s="85"/>
      <c r="FK116" s="85"/>
      <c r="FL116" s="85"/>
      <c r="FM116" s="85"/>
      <c r="FN116" s="85"/>
      <c r="FO116" s="85"/>
      <c r="FP116" s="85"/>
      <c r="FQ116" s="85"/>
      <c r="FR116" s="85"/>
      <c r="FS116" s="85"/>
      <c r="FT116" s="85"/>
      <c r="FU116" s="85"/>
      <c r="FV116" s="85"/>
      <c r="FW116" s="85"/>
      <c r="FX116" s="85"/>
      <c r="FY116" s="85"/>
      <c r="FZ116" s="85"/>
      <c r="GA116" s="85"/>
      <c r="GB116" s="85"/>
      <c r="GC116" s="85"/>
    </row>
    <row r="117" spans="1:185" x14ac:dyDescent="0.35">
      <c r="A117" s="85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5"/>
      <c r="AM117" s="85"/>
      <c r="AN117" s="85"/>
      <c r="AO117" s="85"/>
      <c r="AP117" s="85"/>
      <c r="AQ117" s="85"/>
      <c r="AR117" s="85"/>
      <c r="AS117" s="85"/>
      <c r="AT117" s="85"/>
      <c r="AU117" s="85"/>
      <c r="AV117" s="85"/>
      <c r="AW117" s="85"/>
      <c r="AX117" s="85"/>
      <c r="AY117" s="85"/>
      <c r="AZ117" s="85"/>
      <c r="BA117" s="85"/>
      <c r="BB117" s="85"/>
      <c r="BC117" s="85"/>
      <c r="BD117" s="85"/>
      <c r="BE117" s="85"/>
      <c r="BF117" s="85"/>
      <c r="BG117" s="85"/>
      <c r="BH117" s="85"/>
      <c r="BI117" s="85"/>
      <c r="BJ117" s="85"/>
      <c r="BK117" s="85"/>
      <c r="BL117" s="85"/>
      <c r="BM117" s="85"/>
      <c r="BN117" s="85"/>
      <c r="BO117" s="85"/>
      <c r="BP117" s="85"/>
      <c r="BQ117" s="85"/>
      <c r="BR117" s="85"/>
      <c r="BS117" s="85"/>
      <c r="BT117" s="85"/>
      <c r="BU117" s="85"/>
      <c r="BV117" s="85"/>
      <c r="BW117" s="85"/>
      <c r="BX117" s="85"/>
      <c r="BY117" s="85"/>
      <c r="BZ117" s="85"/>
      <c r="CA117" s="85"/>
      <c r="CB117" s="85"/>
      <c r="CC117" s="85"/>
      <c r="CD117" s="85"/>
      <c r="CE117" s="85"/>
      <c r="CF117" s="85"/>
      <c r="CG117" s="85"/>
      <c r="CH117" s="85"/>
      <c r="CI117" s="85"/>
      <c r="CJ117" s="85"/>
      <c r="CK117" s="85"/>
      <c r="CL117" s="85"/>
      <c r="CM117" s="85"/>
      <c r="CN117" s="85"/>
      <c r="CO117" s="85"/>
      <c r="CP117" s="85"/>
      <c r="CQ117" s="85"/>
      <c r="CR117" s="85"/>
      <c r="CS117" s="85"/>
      <c r="CT117" s="85"/>
      <c r="CU117" s="85"/>
      <c r="CV117" s="85"/>
      <c r="CW117" s="85"/>
      <c r="CX117" s="85"/>
      <c r="CY117" s="85"/>
      <c r="CZ117" s="85"/>
      <c r="DA117" s="85"/>
      <c r="DB117" s="85"/>
      <c r="DC117" s="85"/>
      <c r="DD117" s="85"/>
      <c r="DE117" s="85"/>
      <c r="DF117" s="85"/>
      <c r="DG117" s="85"/>
      <c r="DH117" s="85"/>
      <c r="DI117" s="85"/>
      <c r="DJ117" s="85"/>
      <c r="DK117" s="85"/>
      <c r="DL117" s="85"/>
      <c r="DM117" s="85"/>
      <c r="DN117" s="85"/>
      <c r="DO117" s="85"/>
      <c r="DP117" s="85"/>
      <c r="DQ117" s="85"/>
      <c r="DR117" s="85"/>
      <c r="DS117" s="85"/>
      <c r="DT117" s="85"/>
      <c r="DU117" s="85"/>
      <c r="DV117" s="85"/>
      <c r="DW117" s="85"/>
      <c r="DX117" s="85"/>
      <c r="DY117" s="85"/>
      <c r="DZ117" s="85"/>
      <c r="EA117" s="85"/>
      <c r="EB117" s="85"/>
      <c r="EC117" s="85"/>
      <c r="ED117" s="85"/>
      <c r="EE117" s="85"/>
      <c r="EF117" s="85"/>
      <c r="EG117" s="85"/>
      <c r="EH117" s="85"/>
      <c r="EI117" s="85"/>
      <c r="EJ117" s="85"/>
      <c r="EK117" s="85"/>
      <c r="EL117" s="85"/>
      <c r="EM117" s="85"/>
      <c r="EN117" s="85"/>
      <c r="EO117" s="85"/>
      <c r="EP117" s="85"/>
      <c r="EQ117" s="85"/>
      <c r="ER117" s="85"/>
      <c r="ES117" s="85"/>
      <c r="ET117" s="85"/>
      <c r="EU117" s="85"/>
      <c r="EV117" s="85"/>
      <c r="EW117" s="85"/>
      <c r="EX117" s="85"/>
      <c r="EY117" s="85"/>
      <c r="EZ117" s="85"/>
      <c r="FA117" s="85"/>
      <c r="FB117" s="85"/>
      <c r="FC117" s="85"/>
      <c r="FD117" s="85"/>
      <c r="FE117" s="85"/>
      <c r="FF117" s="85"/>
      <c r="FG117" s="85"/>
      <c r="FH117" s="85"/>
      <c r="FI117" s="85"/>
      <c r="FJ117" s="85"/>
      <c r="FK117" s="85"/>
      <c r="FL117" s="85"/>
      <c r="FM117" s="85"/>
      <c r="FN117" s="85"/>
      <c r="FO117" s="85"/>
      <c r="FP117" s="85"/>
      <c r="FQ117" s="85"/>
      <c r="FR117" s="85"/>
      <c r="FS117" s="85"/>
      <c r="FT117" s="85"/>
      <c r="FU117" s="85"/>
      <c r="FV117" s="85"/>
      <c r="FW117" s="85"/>
      <c r="FX117" s="85"/>
      <c r="FY117" s="85"/>
      <c r="FZ117" s="85"/>
      <c r="GA117" s="85"/>
      <c r="GB117" s="85"/>
      <c r="GC117" s="85"/>
    </row>
    <row r="118" spans="1:185" x14ac:dyDescent="0.35">
      <c r="A118" s="85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5"/>
      <c r="AM118" s="85"/>
      <c r="AN118" s="85"/>
      <c r="AO118" s="85"/>
      <c r="AP118" s="85"/>
      <c r="AQ118" s="85"/>
      <c r="AR118" s="85"/>
      <c r="AS118" s="85"/>
      <c r="AT118" s="85"/>
      <c r="AU118" s="85"/>
      <c r="AV118" s="85"/>
      <c r="AW118" s="85"/>
      <c r="AX118" s="85"/>
      <c r="AY118" s="85"/>
      <c r="AZ118" s="85"/>
      <c r="BA118" s="85"/>
      <c r="BB118" s="85"/>
      <c r="BC118" s="85"/>
      <c r="BD118" s="85"/>
      <c r="BE118" s="85"/>
      <c r="BF118" s="85"/>
      <c r="BG118" s="85"/>
      <c r="BH118" s="85"/>
      <c r="BI118" s="85"/>
      <c r="BJ118" s="85"/>
      <c r="BK118" s="85"/>
      <c r="BL118" s="85"/>
      <c r="BM118" s="85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  <c r="DF118" s="85"/>
      <c r="DG118" s="85"/>
      <c r="DH118" s="85"/>
      <c r="DI118" s="85"/>
      <c r="DJ118" s="85"/>
      <c r="DK118" s="85"/>
      <c r="DL118" s="85"/>
      <c r="DM118" s="85"/>
      <c r="DN118" s="85"/>
      <c r="DO118" s="85"/>
      <c r="DP118" s="85"/>
      <c r="DQ118" s="85"/>
      <c r="DR118" s="85"/>
      <c r="DS118" s="85"/>
      <c r="DT118" s="85"/>
      <c r="DU118" s="85"/>
      <c r="DV118" s="85"/>
      <c r="DW118" s="85"/>
      <c r="DX118" s="85"/>
      <c r="DY118" s="85"/>
      <c r="DZ118" s="85"/>
      <c r="EA118" s="85"/>
      <c r="EB118" s="85"/>
      <c r="EC118" s="85"/>
      <c r="ED118" s="85"/>
      <c r="EE118" s="85"/>
      <c r="EF118" s="85"/>
      <c r="EG118" s="85"/>
      <c r="EH118" s="85"/>
      <c r="EI118" s="85"/>
      <c r="EJ118" s="85"/>
      <c r="EK118" s="85"/>
      <c r="EL118" s="85"/>
      <c r="EM118" s="85"/>
      <c r="EN118" s="85"/>
      <c r="EO118" s="85"/>
      <c r="EP118" s="85"/>
      <c r="EQ118" s="85"/>
      <c r="ER118" s="85"/>
      <c r="ES118" s="85"/>
      <c r="ET118" s="85"/>
      <c r="EU118" s="85"/>
      <c r="EV118" s="85"/>
      <c r="EW118" s="85"/>
      <c r="EX118" s="85"/>
      <c r="EY118" s="85"/>
      <c r="EZ118" s="85"/>
      <c r="FA118" s="85"/>
      <c r="FB118" s="85"/>
      <c r="FC118" s="85"/>
      <c r="FD118" s="85"/>
      <c r="FE118" s="85"/>
      <c r="FF118" s="85"/>
      <c r="FG118" s="85"/>
      <c r="FH118" s="85"/>
      <c r="FI118" s="85"/>
      <c r="FJ118" s="85"/>
      <c r="FK118" s="85"/>
      <c r="FL118" s="85"/>
      <c r="FM118" s="85"/>
      <c r="FN118" s="85"/>
      <c r="FO118" s="85"/>
      <c r="FP118" s="85"/>
      <c r="FQ118" s="85"/>
      <c r="FR118" s="85"/>
      <c r="FS118" s="85"/>
      <c r="FT118" s="85"/>
      <c r="FU118" s="85"/>
      <c r="FV118" s="85"/>
      <c r="FW118" s="85"/>
      <c r="FX118" s="85"/>
      <c r="FY118" s="85"/>
      <c r="FZ118" s="85"/>
      <c r="GA118" s="85"/>
      <c r="GB118" s="85"/>
      <c r="GC118" s="85"/>
    </row>
    <row r="119" spans="1:185" x14ac:dyDescent="0.35">
      <c r="A119" s="85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5"/>
      <c r="AM119" s="85"/>
      <c r="AN119" s="85"/>
      <c r="AO119" s="85"/>
      <c r="AP119" s="85"/>
      <c r="AQ119" s="85"/>
      <c r="AR119" s="85"/>
      <c r="AS119" s="85"/>
      <c r="AT119" s="85"/>
      <c r="AU119" s="85"/>
      <c r="AV119" s="85"/>
      <c r="AW119" s="85"/>
      <c r="AX119" s="85"/>
      <c r="AY119" s="85"/>
      <c r="AZ119" s="85"/>
      <c r="BA119" s="85"/>
      <c r="BB119" s="85"/>
      <c r="BC119" s="85"/>
      <c r="BD119" s="85"/>
      <c r="BE119" s="85"/>
      <c r="BF119" s="85"/>
      <c r="BG119" s="85"/>
      <c r="BH119" s="85"/>
      <c r="BI119" s="85"/>
      <c r="BJ119" s="85"/>
      <c r="BK119" s="85"/>
      <c r="BL119" s="85"/>
      <c r="BM119" s="85"/>
      <c r="BN119" s="85"/>
      <c r="BO119" s="85"/>
      <c r="BP119" s="85"/>
      <c r="BQ119" s="85"/>
      <c r="BR119" s="85"/>
      <c r="BS119" s="85"/>
      <c r="BT119" s="85"/>
      <c r="BU119" s="85"/>
      <c r="BV119" s="85"/>
      <c r="BW119" s="85"/>
      <c r="BX119" s="85"/>
      <c r="BY119" s="85"/>
      <c r="BZ119" s="85"/>
      <c r="CA119" s="85"/>
      <c r="CB119" s="85"/>
      <c r="CC119" s="85"/>
      <c r="CD119" s="85"/>
      <c r="CE119" s="85"/>
      <c r="CF119" s="85"/>
      <c r="CG119" s="85"/>
      <c r="CH119" s="85"/>
      <c r="CI119" s="85"/>
      <c r="CJ119" s="85"/>
      <c r="CK119" s="85"/>
      <c r="CL119" s="85"/>
      <c r="CM119" s="85"/>
      <c r="CN119" s="85"/>
      <c r="CO119" s="85"/>
      <c r="CP119" s="85"/>
      <c r="CQ119" s="85"/>
      <c r="CR119" s="85"/>
      <c r="CS119" s="85"/>
      <c r="CT119" s="85"/>
      <c r="CU119" s="85"/>
      <c r="CV119" s="85"/>
      <c r="CW119" s="85"/>
      <c r="CX119" s="85"/>
      <c r="CY119" s="85"/>
      <c r="CZ119" s="85"/>
      <c r="DA119" s="85"/>
      <c r="DB119" s="85"/>
      <c r="DC119" s="85"/>
      <c r="DD119" s="85"/>
      <c r="DE119" s="85"/>
      <c r="DF119" s="85"/>
      <c r="DG119" s="85"/>
      <c r="DH119" s="85"/>
      <c r="DI119" s="85"/>
      <c r="DJ119" s="85"/>
      <c r="DK119" s="85"/>
      <c r="DL119" s="85"/>
      <c r="DM119" s="85"/>
      <c r="DN119" s="85"/>
      <c r="DO119" s="85"/>
      <c r="DP119" s="85"/>
      <c r="DQ119" s="85"/>
      <c r="DR119" s="85"/>
      <c r="DS119" s="85"/>
      <c r="DT119" s="85"/>
      <c r="DU119" s="85"/>
      <c r="DV119" s="85"/>
      <c r="DW119" s="85"/>
      <c r="DX119" s="85"/>
      <c r="DY119" s="85"/>
      <c r="DZ119" s="85"/>
      <c r="EA119" s="85"/>
      <c r="EB119" s="85"/>
      <c r="EC119" s="85"/>
      <c r="ED119" s="85"/>
      <c r="EE119" s="85"/>
      <c r="EF119" s="85"/>
      <c r="EG119" s="85"/>
      <c r="EH119" s="85"/>
      <c r="EI119" s="85"/>
      <c r="EJ119" s="85"/>
      <c r="EK119" s="85"/>
      <c r="EL119" s="85"/>
      <c r="EM119" s="85"/>
      <c r="EN119" s="85"/>
      <c r="EO119" s="85"/>
      <c r="EP119" s="85"/>
      <c r="EQ119" s="85"/>
      <c r="ER119" s="85"/>
      <c r="ES119" s="85"/>
      <c r="ET119" s="85"/>
      <c r="EU119" s="85"/>
      <c r="EV119" s="85"/>
      <c r="EW119" s="85"/>
      <c r="EX119" s="85"/>
      <c r="EY119" s="85"/>
      <c r="EZ119" s="85"/>
      <c r="FA119" s="85"/>
      <c r="FB119" s="85"/>
      <c r="FC119" s="85"/>
      <c r="FD119" s="85"/>
      <c r="FE119" s="85"/>
      <c r="FF119" s="85"/>
      <c r="FG119" s="85"/>
      <c r="FH119" s="85"/>
      <c r="FI119" s="85"/>
      <c r="FJ119" s="85"/>
      <c r="FK119" s="85"/>
      <c r="FL119" s="85"/>
      <c r="FM119" s="85"/>
      <c r="FN119" s="85"/>
      <c r="FO119" s="85"/>
      <c r="FP119" s="85"/>
      <c r="FQ119" s="85"/>
      <c r="FR119" s="85"/>
      <c r="FS119" s="85"/>
      <c r="FT119" s="85"/>
      <c r="FU119" s="85"/>
      <c r="FV119" s="85"/>
      <c r="FW119" s="85"/>
      <c r="FX119" s="85"/>
      <c r="FY119" s="85"/>
      <c r="FZ119" s="85"/>
      <c r="GA119" s="85"/>
      <c r="GB119" s="85"/>
      <c r="GC119" s="85"/>
    </row>
    <row r="120" spans="1:185" x14ac:dyDescent="0.35">
      <c r="A120" s="85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5"/>
      <c r="AM120" s="85"/>
      <c r="AN120" s="85"/>
      <c r="AO120" s="85"/>
      <c r="AP120" s="85"/>
      <c r="AQ120" s="85"/>
      <c r="AR120" s="85"/>
      <c r="AS120" s="85"/>
      <c r="AT120" s="85"/>
      <c r="AU120" s="85"/>
      <c r="AV120" s="85"/>
      <c r="AW120" s="85"/>
      <c r="AX120" s="85"/>
      <c r="AY120" s="85"/>
      <c r="AZ120" s="85"/>
      <c r="BA120" s="85"/>
      <c r="BB120" s="85"/>
      <c r="BC120" s="85"/>
      <c r="BD120" s="85"/>
      <c r="BE120" s="85"/>
      <c r="BF120" s="85"/>
      <c r="BG120" s="85"/>
      <c r="BH120" s="85"/>
      <c r="BI120" s="85"/>
      <c r="BJ120" s="85"/>
      <c r="BK120" s="85"/>
      <c r="BL120" s="85"/>
      <c r="BM120" s="85"/>
      <c r="BN120" s="85"/>
      <c r="BO120" s="85"/>
      <c r="BP120" s="85"/>
      <c r="BQ120" s="85"/>
      <c r="BR120" s="85"/>
      <c r="BS120" s="85"/>
      <c r="BT120" s="85"/>
      <c r="BU120" s="85"/>
      <c r="BV120" s="85"/>
      <c r="BW120" s="85"/>
      <c r="BX120" s="85"/>
      <c r="BY120" s="85"/>
      <c r="BZ120" s="85"/>
      <c r="CA120" s="85"/>
      <c r="CB120" s="85"/>
      <c r="CC120" s="85"/>
      <c r="CD120" s="85"/>
      <c r="CE120" s="85"/>
      <c r="CF120" s="85"/>
      <c r="CG120" s="85"/>
      <c r="CH120" s="85"/>
      <c r="CI120" s="85"/>
      <c r="CJ120" s="85"/>
      <c r="CK120" s="85"/>
      <c r="CL120" s="85"/>
      <c r="CM120" s="85"/>
      <c r="CN120" s="85"/>
      <c r="CO120" s="85"/>
      <c r="CP120" s="85"/>
      <c r="CQ120" s="85"/>
      <c r="CR120" s="85"/>
      <c r="CS120" s="85"/>
      <c r="CT120" s="85"/>
      <c r="CU120" s="85"/>
      <c r="CV120" s="85"/>
      <c r="CW120" s="85"/>
      <c r="CX120" s="85"/>
      <c r="CY120" s="85"/>
      <c r="CZ120" s="85"/>
      <c r="DA120" s="85"/>
      <c r="DB120" s="85"/>
      <c r="DC120" s="85"/>
      <c r="DD120" s="85"/>
      <c r="DE120" s="85"/>
      <c r="DF120" s="85"/>
      <c r="DG120" s="85"/>
      <c r="DH120" s="85"/>
      <c r="DI120" s="85"/>
      <c r="DJ120" s="85"/>
      <c r="DK120" s="85"/>
      <c r="DL120" s="85"/>
      <c r="DM120" s="85"/>
      <c r="DN120" s="85"/>
      <c r="DO120" s="85"/>
      <c r="DP120" s="85"/>
      <c r="DQ120" s="85"/>
      <c r="DR120" s="85"/>
      <c r="DS120" s="85"/>
      <c r="DT120" s="85"/>
      <c r="DU120" s="85"/>
      <c r="DV120" s="85"/>
      <c r="DW120" s="85"/>
      <c r="DX120" s="85"/>
      <c r="DY120" s="85"/>
      <c r="DZ120" s="85"/>
      <c r="EA120" s="85"/>
      <c r="EB120" s="85"/>
      <c r="EC120" s="85"/>
      <c r="ED120" s="85"/>
      <c r="EE120" s="85"/>
      <c r="EF120" s="85"/>
      <c r="EG120" s="85"/>
      <c r="EH120" s="85"/>
      <c r="EI120" s="85"/>
      <c r="EJ120" s="85"/>
      <c r="EK120" s="85"/>
      <c r="EL120" s="85"/>
      <c r="EM120" s="85"/>
      <c r="EN120" s="85"/>
      <c r="EO120" s="85"/>
      <c r="EP120" s="85"/>
      <c r="EQ120" s="85"/>
      <c r="ER120" s="85"/>
      <c r="ES120" s="85"/>
      <c r="ET120" s="85"/>
      <c r="EU120" s="85"/>
      <c r="EV120" s="85"/>
      <c r="EW120" s="85"/>
      <c r="EX120" s="85"/>
      <c r="EY120" s="85"/>
      <c r="EZ120" s="85"/>
      <c r="FA120" s="85"/>
      <c r="FB120" s="85"/>
      <c r="FC120" s="85"/>
      <c r="FD120" s="85"/>
      <c r="FE120" s="85"/>
      <c r="FF120" s="85"/>
      <c r="FG120" s="85"/>
      <c r="FH120" s="85"/>
      <c r="FI120" s="85"/>
      <c r="FJ120" s="85"/>
      <c r="FK120" s="85"/>
      <c r="FL120" s="85"/>
      <c r="FM120" s="85"/>
      <c r="FN120" s="85"/>
      <c r="FO120" s="85"/>
      <c r="FP120" s="85"/>
      <c r="FQ120" s="85"/>
      <c r="FR120" s="85"/>
      <c r="FS120" s="85"/>
      <c r="FT120" s="85"/>
      <c r="FU120" s="85"/>
      <c r="FV120" s="85"/>
      <c r="FW120" s="85"/>
      <c r="FX120" s="85"/>
      <c r="FY120" s="85"/>
      <c r="FZ120" s="85"/>
      <c r="GA120" s="85"/>
      <c r="GB120" s="85"/>
      <c r="GC120" s="85"/>
    </row>
    <row r="121" spans="1:185" x14ac:dyDescent="0.35">
      <c r="A121" s="85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5"/>
      <c r="AM121" s="85"/>
      <c r="AN121" s="85"/>
      <c r="AO121" s="85"/>
      <c r="AP121" s="85"/>
      <c r="AQ121" s="85"/>
      <c r="AR121" s="85"/>
      <c r="AS121" s="85"/>
      <c r="AT121" s="85"/>
      <c r="AU121" s="85"/>
      <c r="AV121" s="85"/>
      <c r="AW121" s="85"/>
      <c r="AX121" s="85"/>
      <c r="AY121" s="85"/>
      <c r="AZ121" s="85"/>
      <c r="BA121" s="85"/>
      <c r="BB121" s="85"/>
      <c r="BC121" s="85"/>
      <c r="BD121" s="85"/>
      <c r="BE121" s="85"/>
      <c r="BF121" s="85"/>
      <c r="BG121" s="85"/>
      <c r="BH121" s="85"/>
      <c r="BI121" s="85"/>
      <c r="BJ121" s="85"/>
      <c r="BK121" s="85"/>
      <c r="BL121" s="85"/>
      <c r="BM121" s="85"/>
      <c r="BN121" s="85"/>
      <c r="BO121" s="85"/>
      <c r="BP121" s="85"/>
      <c r="BQ121" s="85"/>
      <c r="BR121" s="85"/>
      <c r="BS121" s="85"/>
      <c r="BT121" s="85"/>
      <c r="BU121" s="85"/>
      <c r="BV121" s="85"/>
      <c r="BW121" s="85"/>
      <c r="BX121" s="85"/>
      <c r="BY121" s="85"/>
      <c r="BZ121" s="85"/>
      <c r="CA121" s="85"/>
      <c r="CB121" s="85"/>
      <c r="CC121" s="85"/>
      <c r="CD121" s="85"/>
      <c r="CE121" s="85"/>
      <c r="CF121" s="85"/>
      <c r="CG121" s="85"/>
      <c r="CH121" s="85"/>
      <c r="CI121" s="85"/>
      <c r="CJ121" s="85"/>
      <c r="CK121" s="85"/>
      <c r="CL121" s="85"/>
      <c r="CM121" s="85"/>
      <c r="CN121" s="85"/>
      <c r="CO121" s="85"/>
      <c r="CP121" s="85"/>
      <c r="CQ121" s="85"/>
      <c r="CR121" s="85"/>
      <c r="CS121" s="85"/>
      <c r="CT121" s="85"/>
      <c r="CU121" s="85"/>
      <c r="CV121" s="85"/>
      <c r="CW121" s="85"/>
      <c r="CX121" s="85"/>
      <c r="CY121" s="85"/>
      <c r="CZ121" s="85"/>
      <c r="DA121" s="85"/>
      <c r="DB121" s="85"/>
      <c r="DC121" s="85"/>
      <c r="DD121" s="85"/>
      <c r="DE121" s="85"/>
      <c r="DF121" s="85"/>
      <c r="DG121" s="85"/>
      <c r="DH121" s="85"/>
      <c r="DI121" s="85"/>
      <c r="DJ121" s="85"/>
      <c r="DK121" s="85"/>
      <c r="DL121" s="85"/>
      <c r="DM121" s="85"/>
      <c r="DN121" s="85"/>
      <c r="DO121" s="85"/>
      <c r="DP121" s="85"/>
      <c r="DQ121" s="85"/>
      <c r="DR121" s="85"/>
      <c r="DS121" s="85"/>
      <c r="DT121" s="85"/>
      <c r="DU121" s="85"/>
      <c r="DV121" s="85"/>
      <c r="DW121" s="85"/>
      <c r="DX121" s="85"/>
      <c r="DY121" s="85"/>
      <c r="DZ121" s="85"/>
      <c r="EA121" s="85"/>
      <c r="EB121" s="85"/>
      <c r="EC121" s="85"/>
      <c r="ED121" s="85"/>
      <c r="EE121" s="85"/>
      <c r="EF121" s="85"/>
      <c r="EG121" s="85"/>
      <c r="EH121" s="85"/>
      <c r="EI121" s="85"/>
      <c r="EJ121" s="85"/>
      <c r="EK121" s="85"/>
      <c r="EL121" s="85"/>
      <c r="EM121" s="85"/>
      <c r="EN121" s="85"/>
      <c r="EO121" s="85"/>
      <c r="EP121" s="85"/>
      <c r="EQ121" s="85"/>
      <c r="ER121" s="85"/>
      <c r="ES121" s="85"/>
      <c r="ET121" s="85"/>
      <c r="EU121" s="85"/>
      <c r="EV121" s="85"/>
      <c r="EW121" s="85"/>
      <c r="EX121" s="85"/>
      <c r="EY121" s="85"/>
      <c r="EZ121" s="85"/>
      <c r="FA121" s="85"/>
      <c r="FB121" s="85"/>
      <c r="FC121" s="85"/>
      <c r="FD121" s="85"/>
      <c r="FE121" s="85"/>
      <c r="FF121" s="85"/>
      <c r="FG121" s="85"/>
      <c r="FH121" s="85"/>
      <c r="FI121" s="85"/>
      <c r="FJ121" s="85"/>
      <c r="FK121" s="85"/>
      <c r="FL121" s="85"/>
      <c r="FM121" s="85"/>
      <c r="FN121" s="85"/>
      <c r="FO121" s="85"/>
      <c r="FP121" s="85"/>
      <c r="FQ121" s="85"/>
      <c r="FR121" s="85"/>
      <c r="FS121" s="85"/>
      <c r="FT121" s="85"/>
      <c r="FU121" s="85"/>
      <c r="FV121" s="85"/>
      <c r="FW121" s="85"/>
      <c r="FX121" s="85"/>
      <c r="FY121" s="85"/>
      <c r="FZ121" s="85"/>
      <c r="GA121" s="85"/>
      <c r="GB121" s="85"/>
      <c r="GC121" s="85"/>
    </row>
    <row r="122" spans="1:185" x14ac:dyDescent="0.35">
      <c r="A122" s="85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5"/>
      <c r="AM122" s="85"/>
      <c r="AN122" s="85"/>
      <c r="AO122" s="85"/>
      <c r="AP122" s="85"/>
      <c r="AQ122" s="85"/>
      <c r="AR122" s="85"/>
      <c r="AS122" s="85"/>
      <c r="AT122" s="85"/>
      <c r="AU122" s="85"/>
      <c r="AV122" s="85"/>
      <c r="AW122" s="85"/>
      <c r="AX122" s="85"/>
      <c r="AY122" s="85"/>
      <c r="AZ122" s="85"/>
      <c r="BA122" s="85"/>
      <c r="BB122" s="85"/>
      <c r="BC122" s="85"/>
      <c r="BD122" s="85"/>
      <c r="BE122" s="85"/>
      <c r="BF122" s="85"/>
      <c r="BG122" s="85"/>
      <c r="BH122" s="85"/>
      <c r="BI122" s="85"/>
      <c r="BJ122" s="85"/>
      <c r="BK122" s="85"/>
      <c r="BL122" s="85"/>
      <c r="BM122" s="85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  <c r="DF122" s="85"/>
      <c r="DG122" s="85"/>
      <c r="DH122" s="85"/>
      <c r="DI122" s="85"/>
      <c r="DJ122" s="85"/>
      <c r="DK122" s="85"/>
      <c r="DL122" s="85"/>
      <c r="DM122" s="85"/>
      <c r="DN122" s="85"/>
      <c r="DO122" s="85"/>
      <c r="DP122" s="85"/>
      <c r="DQ122" s="85"/>
      <c r="DR122" s="85"/>
      <c r="DS122" s="85"/>
      <c r="DT122" s="85"/>
      <c r="DU122" s="85"/>
      <c r="DV122" s="85"/>
      <c r="DW122" s="85"/>
      <c r="DX122" s="85"/>
      <c r="DY122" s="85"/>
      <c r="DZ122" s="85"/>
      <c r="EA122" s="85"/>
      <c r="EB122" s="85"/>
      <c r="EC122" s="85"/>
      <c r="ED122" s="85"/>
      <c r="EE122" s="85"/>
      <c r="EF122" s="85"/>
      <c r="EG122" s="85"/>
      <c r="EH122" s="85"/>
      <c r="EI122" s="85"/>
      <c r="EJ122" s="85"/>
      <c r="EK122" s="85"/>
      <c r="EL122" s="85"/>
      <c r="EM122" s="85"/>
      <c r="EN122" s="85"/>
      <c r="EO122" s="85"/>
      <c r="EP122" s="85"/>
      <c r="EQ122" s="85"/>
      <c r="ER122" s="85"/>
      <c r="ES122" s="85"/>
      <c r="ET122" s="85"/>
      <c r="EU122" s="85"/>
      <c r="EV122" s="85"/>
      <c r="EW122" s="85"/>
      <c r="EX122" s="85"/>
      <c r="EY122" s="85"/>
      <c r="EZ122" s="85"/>
      <c r="FA122" s="85"/>
      <c r="FB122" s="85"/>
      <c r="FC122" s="85"/>
      <c r="FD122" s="85"/>
      <c r="FE122" s="85"/>
      <c r="FF122" s="85"/>
      <c r="FG122" s="85"/>
      <c r="FH122" s="85"/>
      <c r="FI122" s="85"/>
      <c r="FJ122" s="85"/>
      <c r="FK122" s="85"/>
      <c r="FL122" s="85"/>
      <c r="FM122" s="85"/>
      <c r="FN122" s="85"/>
      <c r="FO122" s="85"/>
      <c r="FP122" s="85"/>
      <c r="FQ122" s="85"/>
      <c r="FR122" s="85"/>
      <c r="FS122" s="85"/>
      <c r="FT122" s="85"/>
      <c r="FU122" s="85"/>
      <c r="FV122" s="85"/>
      <c r="FW122" s="85"/>
      <c r="FX122" s="85"/>
      <c r="FY122" s="85"/>
      <c r="FZ122" s="85"/>
      <c r="GA122" s="85"/>
      <c r="GB122" s="85"/>
      <c r="GC122" s="85"/>
    </row>
    <row r="123" spans="1:185" x14ac:dyDescent="0.35">
      <c r="A123" s="85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5"/>
      <c r="AM123" s="85"/>
      <c r="AN123" s="85"/>
      <c r="AO123" s="85"/>
      <c r="AP123" s="85"/>
      <c r="AQ123" s="85"/>
      <c r="AR123" s="85"/>
      <c r="AS123" s="85"/>
      <c r="AT123" s="85"/>
      <c r="AU123" s="85"/>
      <c r="AV123" s="85"/>
      <c r="AW123" s="85"/>
      <c r="AX123" s="85"/>
      <c r="AY123" s="85"/>
      <c r="AZ123" s="85"/>
      <c r="BA123" s="85"/>
      <c r="BB123" s="85"/>
      <c r="BC123" s="85"/>
      <c r="BD123" s="85"/>
      <c r="BE123" s="85"/>
      <c r="BF123" s="85"/>
      <c r="BG123" s="85"/>
      <c r="BH123" s="85"/>
      <c r="BI123" s="85"/>
      <c r="BJ123" s="85"/>
      <c r="BK123" s="85"/>
      <c r="BL123" s="85"/>
      <c r="BM123" s="85"/>
      <c r="BN123" s="85"/>
      <c r="BO123" s="85"/>
      <c r="BP123" s="85"/>
      <c r="BQ123" s="85"/>
      <c r="BR123" s="85"/>
      <c r="BS123" s="85"/>
      <c r="BT123" s="85"/>
      <c r="BU123" s="85"/>
      <c r="BV123" s="85"/>
      <c r="BW123" s="85"/>
      <c r="BX123" s="85"/>
      <c r="BY123" s="85"/>
      <c r="BZ123" s="85"/>
      <c r="CA123" s="85"/>
      <c r="CB123" s="85"/>
      <c r="CC123" s="85"/>
      <c r="CD123" s="85"/>
      <c r="CE123" s="85"/>
      <c r="CF123" s="85"/>
      <c r="CG123" s="85"/>
      <c r="CH123" s="85"/>
      <c r="CI123" s="85"/>
      <c r="CJ123" s="85"/>
      <c r="CK123" s="85"/>
      <c r="CL123" s="85"/>
      <c r="CM123" s="85"/>
      <c r="CN123" s="85"/>
      <c r="CO123" s="85"/>
      <c r="CP123" s="85"/>
      <c r="CQ123" s="85"/>
      <c r="CR123" s="85"/>
      <c r="CS123" s="85"/>
      <c r="CT123" s="85"/>
      <c r="CU123" s="85"/>
      <c r="CV123" s="85"/>
      <c r="CW123" s="85"/>
      <c r="CX123" s="85"/>
      <c r="CY123" s="85"/>
      <c r="CZ123" s="85"/>
      <c r="DA123" s="85"/>
      <c r="DB123" s="85"/>
      <c r="DC123" s="85"/>
      <c r="DD123" s="85"/>
      <c r="DE123" s="85"/>
      <c r="DF123" s="85"/>
      <c r="DG123" s="85"/>
      <c r="DH123" s="85"/>
      <c r="DI123" s="85"/>
      <c r="DJ123" s="85"/>
      <c r="DK123" s="85"/>
      <c r="DL123" s="85"/>
      <c r="DM123" s="85"/>
      <c r="DN123" s="85"/>
      <c r="DO123" s="85"/>
      <c r="DP123" s="85"/>
      <c r="DQ123" s="85"/>
      <c r="DR123" s="85"/>
      <c r="DS123" s="85"/>
      <c r="DT123" s="85"/>
      <c r="DU123" s="85"/>
      <c r="DV123" s="85"/>
      <c r="DW123" s="85"/>
      <c r="DX123" s="85"/>
      <c r="DY123" s="85"/>
      <c r="DZ123" s="85"/>
      <c r="EA123" s="85"/>
      <c r="EB123" s="85"/>
      <c r="EC123" s="85"/>
      <c r="ED123" s="85"/>
      <c r="EE123" s="85"/>
      <c r="EF123" s="85"/>
      <c r="EG123" s="85"/>
      <c r="EH123" s="85"/>
      <c r="EI123" s="85"/>
      <c r="EJ123" s="85"/>
      <c r="EK123" s="85"/>
      <c r="EL123" s="85"/>
      <c r="EM123" s="85"/>
      <c r="EN123" s="85"/>
      <c r="EO123" s="85"/>
      <c r="EP123" s="85"/>
      <c r="EQ123" s="85"/>
      <c r="ER123" s="85"/>
      <c r="ES123" s="85"/>
      <c r="ET123" s="85"/>
      <c r="EU123" s="85"/>
      <c r="EV123" s="85"/>
      <c r="EW123" s="85"/>
      <c r="EX123" s="85"/>
      <c r="EY123" s="85"/>
      <c r="EZ123" s="85"/>
      <c r="FA123" s="85"/>
      <c r="FB123" s="85"/>
      <c r="FC123" s="85"/>
      <c r="FD123" s="85"/>
      <c r="FE123" s="85"/>
      <c r="FF123" s="85"/>
      <c r="FG123" s="85"/>
      <c r="FH123" s="85"/>
      <c r="FI123" s="85"/>
      <c r="FJ123" s="85"/>
      <c r="FK123" s="85"/>
      <c r="FL123" s="85"/>
      <c r="FM123" s="85"/>
      <c r="FN123" s="85"/>
      <c r="FO123" s="85"/>
      <c r="FP123" s="85"/>
      <c r="FQ123" s="85"/>
      <c r="FR123" s="85"/>
      <c r="FS123" s="85"/>
      <c r="FT123" s="85"/>
      <c r="FU123" s="85"/>
      <c r="FV123" s="85"/>
      <c r="FW123" s="85"/>
      <c r="FX123" s="85"/>
      <c r="FY123" s="85"/>
      <c r="FZ123" s="85"/>
      <c r="GA123" s="85"/>
      <c r="GB123" s="85"/>
      <c r="GC123" s="85"/>
    </row>
    <row r="124" spans="1:185" x14ac:dyDescent="0.35">
      <c r="A124" s="85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5"/>
      <c r="AM124" s="85"/>
      <c r="AN124" s="85"/>
      <c r="AO124" s="85"/>
      <c r="AP124" s="85"/>
      <c r="AQ124" s="85"/>
      <c r="AR124" s="85"/>
      <c r="AS124" s="85"/>
      <c r="AT124" s="85"/>
      <c r="AU124" s="85"/>
      <c r="AV124" s="85"/>
      <c r="AW124" s="85"/>
      <c r="AX124" s="85"/>
      <c r="AY124" s="85"/>
      <c r="AZ124" s="85"/>
      <c r="BA124" s="85"/>
      <c r="BB124" s="85"/>
      <c r="BC124" s="85"/>
      <c r="BD124" s="85"/>
      <c r="BE124" s="85"/>
      <c r="BF124" s="85"/>
      <c r="BG124" s="85"/>
      <c r="BH124" s="85"/>
      <c r="BI124" s="85"/>
      <c r="BJ124" s="85"/>
      <c r="BK124" s="85"/>
      <c r="BL124" s="85"/>
      <c r="BM124" s="85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  <c r="DF124" s="85"/>
      <c r="DG124" s="85"/>
      <c r="DH124" s="85"/>
      <c r="DI124" s="85"/>
      <c r="DJ124" s="85"/>
      <c r="DK124" s="85"/>
      <c r="DL124" s="85"/>
      <c r="DM124" s="85"/>
      <c r="DN124" s="85"/>
      <c r="DO124" s="85"/>
      <c r="DP124" s="85"/>
      <c r="DQ124" s="85"/>
      <c r="DR124" s="85"/>
      <c r="DS124" s="85"/>
      <c r="DT124" s="85"/>
      <c r="DU124" s="85"/>
      <c r="DV124" s="85"/>
      <c r="DW124" s="85"/>
      <c r="DX124" s="85"/>
      <c r="DY124" s="85"/>
      <c r="DZ124" s="85"/>
      <c r="EA124" s="85"/>
      <c r="EB124" s="85"/>
      <c r="EC124" s="85"/>
      <c r="ED124" s="85"/>
      <c r="EE124" s="85"/>
      <c r="EF124" s="85"/>
      <c r="EG124" s="85"/>
      <c r="EH124" s="85"/>
      <c r="EI124" s="85"/>
      <c r="EJ124" s="85"/>
      <c r="EK124" s="85"/>
      <c r="EL124" s="85"/>
      <c r="EM124" s="85"/>
      <c r="EN124" s="85"/>
      <c r="EO124" s="85"/>
      <c r="EP124" s="85"/>
      <c r="EQ124" s="85"/>
      <c r="ER124" s="85"/>
      <c r="ES124" s="85"/>
      <c r="ET124" s="85"/>
      <c r="EU124" s="85"/>
      <c r="EV124" s="85"/>
      <c r="EW124" s="85"/>
      <c r="EX124" s="85"/>
      <c r="EY124" s="85"/>
      <c r="EZ124" s="85"/>
      <c r="FA124" s="85"/>
      <c r="FB124" s="85"/>
      <c r="FC124" s="85"/>
      <c r="FD124" s="85"/>
      <c r="FE124" s="85"/>
      <c r="FF124" s="85"/>
      <c r="FG124" s="85"/>
      <c r="FH124" s="85"/>
      <c r="FI124" s="85"/>
      <c r="FJ124" s="85"/>
      <c r="FK124" s="85"/>
      <c r="FL124" s="85"/>
      <c r="FM124" s="85"/>
      <c r="FN124" s="85"/>
      <c r="FO124" s="85"/>
      <c r="FP124" s="85"/>
      <c r="FQ124" s="85"/>
      <c r="FR124" s="85"/>
      <c r="FS124" s="85"/>
      <c r="FT124" s="85"/>
      <c r="FU124" s="85"/>
      <c r="FV124" s="85"/>
      <c r="FW124" s="85"/>
      <c r="FX124" s="85"/>
      <c r="FY124" s="85"/>
      <c r="FZ124" s="85"/>
      <c r="GA124" s="85"/>
      <c r="GB124" s="85"/>
      <c r="GC124" s="85"/>
    </row>
    <row r="125" spans="1:185" x14ac:dyDescent="0.35">
      <c r="A125" s="85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5"/>
      <c r="AM125" s="85"/>
      <c r="AN125" s="85"/>
      <c r="AO125" s="85"/>
      <c r="AP125" s="85"/>
      <c r="AQ125" s="85"/>
      <c r="AR125" s="85"/>
      <c r="AS125" s="85"/>
      <c r="AT125" s="85"/>
      <c r="AU125" s="85"/>
      <c r="AV125" s="85"/>
      <c r="AW125" s="85"/>
      <c r="AX125" s="85"/>
      <c r="AY125" s="85"/>
      <c r="AZ125" s="85"/>
      <c r="BA125" s="85"/>
      <c r="BB125" s="85"/>
      <c r="BC125" s="85"/>
      <c r="BD125" s="85"/>
      <c r="BE125" s="85"/>
      <c r="BF125" s="85"/>
      <c r="BG125" s="85"/>
      <c r="BH125" s="85"/>
      <c r="BI125" s="85"/>
      <c r="BJ125" s="85"/>
      <c r="BK125" s="85"/>
      <c r="BL125" s="85"/>
      <c r="BM125" s="85"/>
      <c r="BN125" s="85"/>
      <c r="BO125" s="85"/>
      <c r="BP125" s="85"/>
      <c r="BQ125" s="85"/>
      <c r="BR125" s="85"/>
      <c r="BS125" s="85"/>
      <c r="BT125" s="85"/>
      <c r="BU125" s="85"/>
      <c r="BV125" s="85"/>
      <c r="BW125" s="85"/>
      <c r="BX125" s="85"/>
      <c r="BY125" s="85"/>
      <c r="BZ125" s="85"/>
      <c r="CA125" s="85"/>
      <c r="CB125" s="85"/>
      <c r="CC125" s="85"/>
      <c r="CD125" s="85"/>
      <c r="CE125" s="85"/>
      <c r="CF125" s="85"/>
      <c r="CG125" s="85"/>
      <c r="CH125" s="85"/>
      <c r="CI125" s="85"/>
      <c r="CJ125" s="85"/>
      <c r="CK125" s="85"/>
      <c r="CL125" s="85"/>
      <c r="CM125" s="85"/>
      <c r="CN125" s="85"/>
      <c r="CO125" s="85"/>
      <c r="CP125" s="85"/>
      <c r="CQ125" s="85"/>
      <c r="CR125" s="85"/>
      <c r="CS125" s="85"/>
      <c r="CT125" s="85"/>
      <c r="CU125" s="85"/>
      <c r="CV125" s="85"/>
      <c r="CW125" s="85"/>
      <c r="CX125" s="85"/>
      <c r="CY125" s="85"/>
      <c r="CZ125" s="85"/>
      <c r="DA125" s="85"/>
      <c r="DB125" s="85"/>
      <c r="DC125" s="85"/>
      <c r="DD125" s="85"/>
      <c r="DE125" s="85"/>
      <c r="DF125" s="85"/>
      <c r="DG125" s="85"/>
      <c r="DH125" s="85"/>
      <c r="DI125" s="85"/>
      <c r="DJ125" s="85"/>
      <c r="DK125" s="85"/>
      <c r="DL125" s="85"/>
      <c r="DM125" s="85"/>
      <c r="DN125" s="85"/>
      <c r="DO125" s="85"/>
      <c r="DP125" s="85"/>
      <c r="DQ125" s="85"/>
      <c r="DR125" s="85"/>
      <c r="DS125" s="85"/>
      <c r="DT125" s="85"/>
      <c r="DU125" s="85"/>
      <c r="DV125" s="85"/>
      <c r="DW125" s="85"/>
      <c r="DX125" s="85"/>
      <c r="DY125" s="85"/>
      <c r="DZ125" s="85"/>
      <c r="EA125" s="85"/>
      <c r="EB125" s="85"/>
      <c r="EC125" s="85"/>
      <c r="ED125" s="85"/>
      <c r="EE125" s="85"/>
      <c r="EF125" s="85"/>
      <c r="EG125" s="85"/>
      <c r="EH125" s="85"/>
      <c r="EI125" s="85"/>
      <c r="EJ125" s="85"/>
      <c r="EK125" s="85"/>
      <c r="EL125" s="85"/>
      <c r="EM125" s="85"/>
      <c r="EN125" s="85"/>
      <c r="EO125" s="85"/>
      <c r="EP125" s="85"/>
      <c r="EQ125" s="85"/>
      <c r="ER125" s="85"/>
      <c r="ES125" s="85"/>
      <c r="ET125" s="85"/>
      <c r="EU125" s="85"/>
      <c r="EV125" s="85"/>
      <c r="EW125" s="85"/>
      <c r="EX125" s="85"/>
      <c r="EY125" s="85"/>
      <c r="EZ125" s="85"/>
      <c r="FA125" s="85"/>
      <c r="FB125" s="85"/>
      <c r="FC125" s="85"/>
      <c r="FD125" s="85"/>
      <c r="FE125" s="85"/>
      <c r="FF125" s="85"/>
      <c r="FG125" s="85"/>
      <c r="FH125" s="85"/>
      <c r="FI125" s="85"/>
      <c r="FJ125" s="85"/>
      <c r="FK125" s="85"/>
      <c r="FL125" s="85"/>
      <c r="FM125" s="85"/>
      <c r="FN125" s="85"/>
      <c r="FO125" s="85"/>
      <c r="FP125" s="85"/>
      <c r="FQ125" s="85"/>
      <c r="FR125" s="85"/>
      <c r="FS125" s="85"/>
      <c r="FT125" s="85"/>
      <c r="FU125" s="85"/>
      <c r="FV125" s="85"/>
      <c r="FW125" s="85"/>
      <c r="FX125" s="85"/>
      <c r="FY125" s="85"/>
      <c r="FZ125" s="85"/>
      <c r="GA125" s="85"/>
      <c r="GB125" s="85"/>
      <c r="GC125" s="85"/>
    </row>
    <row r="126" spans="1:185" x14ac:dyDescent="0.35">
      <c r="A126" s="85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5"/>
      <c r="AM126" s="85"/>
      <c r="AN126" s="85"/>
      <c r="AO126" s="85"/>
      <c r="AP126" s="85"/>
      <c r="AQ126" s="85"/>
      <c r="AR126" s="85"/>
      <c r="AS126" s="85"/>
      <c r="AT126" s="85"/>
      <c r="AU126" s="85"/>
      <c r="AV126" s="85"/>
      <c r="AW126" s="85"/>
      <c r="AX126" s="85"/>
      <c r="AY126" s="85"/>
      <c r="AZ126" s="85"/>
      <c r="BA126" s="85"/>
      <c r="BB126" s="85"/>
      <c r="BC126" s="85"/>
      <c r="BD126" s="85"/>
      <c r="BE126" s="85"/>
      <c r="BF126" s="85"/>
      <c r="BG126" s="85"/>
      <c r="BH126" s="85"/>
      <c r="BI126" s="85"/>
      <c r="BJ126" s="85"/>
      <c r="BK126" s="85"/>
      <c r="BL126" s="85"/>
      <c r="BM126" s="85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  <c r="DF126" s="85"/>
      <c r="DG126" s="85"/>
      <c r="DH126" s="85"/>
      <c r="DI126" s="85"/>
      <c r="DJ126" s="85"/>
      <c r="DK126" s="85"/>
      <c r="DL126" s="85"/>
      <c r="DM126" s="85"/>
      <c r="DN126" s="85"/>
      <c r="DO126" s="85"/>
      <c r="DP126" s="85"/>
      <c r="DQ126" s="85"/>
      <c r="DR126" s="85"/>
      <c r="DS126" s="85"/>
      <c r="DT126" s="85"/>
      <c r="DU126" s="85"/>
      <c r="DV126" s="85"/>
      <c r="DW126" s="85"/>
      <c r="DX126" s="85"/>
      <c r="DY126" s="85"/>
      <c r="DZ126" s="85"/>
      <c r="EA126" s="85"/>
      <c r="EB126" s="85"/>
      <c r="EC126" s="85"/>
      <c r="ED126" s="85"/>
      <c r="EE126" s="85"/>
      <c r="EF126" s="85"/>
      <c r="EG126" s="85"/>
      <c r="EH126" s="85"/>
      <c r="EI126" s="85"/>
      <c r="EJ126" s="85"/>
      <c r="EK126" s="85"/>
      <c r="EL126" s="85"/>
      <c r="EM126" s="85"/>
      <c r="EN126" s="85"/>
      <c r="EO126" s="85"/>
      <c r="EP126" s="85"/>
      <c r="EQ126" s="85"/>
      <c r="ER126" s="85"/>
      <c r="ES126" s="85"/>
      <c r="ET126" s="85"/>
      <c r="EU126" s="85"/>
      <c r="EV126" s="85"/>
      <c r="EW126" s="85"/>
      <c r="EX126" s="85"/>
      <c r="EY126" s="85"/>
      <c r="EZ126" s="85"/>
      <c r="FA126" s="85"/>
      <c r="FB126" s="85"/>
      <c r="FC126" s="85"/>
      <c r="FD126" s="85"/>
      <c r="FE126" s="85"/>
      <c r="FF126" s="85"/>
      <c r="FG126" s="85"/>
      <c r="FH126" s="85"/>
      <c r="FI126" s="85"/>
      <c r="FJ126" s="85"/>
      <c r="FK126" s="85"/>
      <c r="FL126" s="85"/>
      <c r="FM126" s="85"/>
      <c r="FN126" s="85"/>
      <c r="FO126" s="85"/>
      <c r="FP126" s="85"/>
      <c r="FQ126" s="85"/>
      <c r="FR126" s="85"/>
      <c r="FS126" s="85"/>
      <c r="FT126" s="85"/>
      <c r="FU126" s="85"/>
      <c r="FV126" s="85"/>
      <c r="FW126" s="85"/>
      <c r="FX126" s="85"/>
      <c r="FY126" s="85"/>
      <c r="FZ126" s="85"/>
      <c r="GA126" s="85"/>
      <c r="GB126" s="85"/>
      <c r="GC126" s="85"/>
    </row>
    <row r="127" spans="1:185" x14ac:dyDescent="0.35">
      <c r="A127" s="85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5"/>
      <c r="AM127" s="85"/>
      <c r="AN127" s="85"/>
      <c r="AO127" s="85"/>
      <c r="AP127" s="85"/>
      <c r="AQ127" s="85"/>
      <c r="AR127" s="85"/>
      <c r="AS127" s="85"/>
      <c r="AT127" s="85"/>
      <c r="AU127" s="85"/>
      <c r="AV127" s="85"/>
      <c r="AW127" s="85"/>
      <c r="AX127" s="85"/>
      <c r="AY127" s="85"/>
      <c r="AZ127" s="85"/>
      <c r="BA127" s="85"/>
      <c r="BB127" s="85"/>
      <c r="BC127" s="85"/>
      <c r="BD127" s="85"/>
      <c r="BE127" s="85"/>
      <c r="BF127" s="85"/>
      <c r="BG127" s="85"/>
      <c r="BH127" s="85"/>
      <c r="BI127" s="85"/>
      <c r="BJ127" s="85"/>
      <c r="BK127" s="85"/>
      <c r="BL127" s="85"/>
      <c r="BM127" s="85"/>
      <c r="BN127" s="85"/>
      <c r="BO127" s="85"/>
      <c r="BP127" s="85"/>
      <c r="BQ127" s="85"/>
      <c r="BR127" s="85"/>
      <c r="BS127" s="85"/>
      <c r="BT127" s="85"/>
      <c r="BU127" s="85"/>
      <c r="BV127" s="85"/>
      <c r="BW127" s="85"/>
      <c r="BX127" s="85"/>
      <c r="BY127" s="85"/>
      <c r="BZ127" s="85"/>
      <c r="CA127" s="85"/>
      <c r="CB127" s="85"/>
      <c r="CC127" s="85"/>
      <c r="CD127" s="85"/>
      <c r="CE127" s="85"/>
      <c r="CF127" s="85"/>
      <c r="CG127" s="85"/>
      <c r="CH127" s="85"/>
      <c r="CI127" s="85"/>
      <c r="CJ127" s="85"/>
      <c r="CK127" s="85"/>
      <c r="CL127" s="85"/>
      <c r="CM127" s="85"/>
      <c r="CN127" s="85"/>
      <c r="CO127" s="85"/>
      <c r="CP127" s="85"/>
      <c r="CQ127" s="85"/>
      <c r="CR127" s="85"/>
      <c r="CS127" s="85"/>
      <c r="CT127" s="85"/>
      <c r="CU127" s="85"/>
      <c r="CV127" s="85"/>
      <c r="CW127" s="85"/>
      <c r="CX127" s="85"/>
      <c r="CY127" s="85"/>
      <c r="CZ127" s="85"/>
      <c r="DA127" s="85"/>
      <c r="DB127" s="85"/>
      <c r="DC127" s="85"/>
      <c r="DD127" s="85"/>
      <c r="DE127" s="85"/>
      <c r="DF127" s="85"/>
      <c r="DG127" s="85"/>
      <c r="DH127" s="85"/>
      <c r="DI127" s="85"/>
      <c r="DJ127" s="85"/>
      <c r="DK127" s="85"/>
      <c r="DL127" s="85"/>
      <c r="DM127" s="85"/>
      <c r="DN127" s="85"/>
      <c r="DO127" s="85"/>
      <c r="DP127" s="85"/>
      <c r="DQ127" s="85"/>
      <c r="DR127" s="85"/>
      <c r="DS127" s="85"/>
      <c r="DT127" s="85"/>
      <c r="DU127" s="85"/>
      <c r="DV127" s="85"/>
      <c r="DW127" s="85"/>
      <c r="DX127" s="85"/>
      <c r="DY127" s="85"/>
      <c r="DZ127" s="85"/>
      <c r="EA127" s="85"/>
      <c r="EB127" s="85"/>
      <c r="EC127" s="85"/>
      <c r="ED127" s="85"/>
      <c r="EE127" s="85"/>
      <c r="EF127" s="85"/>
      <c r="EG127" s="85"/>
      <c r="EH127" s="85"/>
      <c r="EI127" s="85"/>
      <c r="EJ127" s="85"/>
      <c r="EK127" s="85"/>
      <c r="EL127" s="85"/>
      <c r="EM127" s="85"/>
      <c r="EN127" s="85"/>
      <c r="EO127" s="85"/>
      <c r="EP127" s="85"/>
      <c r="EQ127" s="85"/>
      <c r="ER127" s="85"/>
      <c r="ES127" s="85"/>
      <c r="ET127" s="85"/>
      <c r="EU127" s="85"/>
      <c r="EV127" s="85"/>
      <c r="EW127" s="85"/>
      <c r="EX127" s="85"/>
      <c r="EY127" s="85"/>
      <c r="EZ127" s="85"/>
      <c r="FA127" s="85"/>
      <c r="FB127" s="85"/>
      <c r="FC127" s="85"/>
      <c r="FD127" s="85"/>
      <c r="FE127" s="85"/>
      <c r="FF127" s="85"/>
      <c r="FG127" s="85"/>
      <c r="FH127" s="85"/>
      <c r="FI127" s="85"/>
      <c r="FJ127" s="85"/>
      <c r="FK127" s="85"/>
      <c r="FL127" s="85"/>
      <c r="FM127" s="85"/>
      <c r="FN127" s="85"/>
      <c r="FO127" s="85"/>
      <c r="FP127" s="85"/>
      <c r="FQ127" s="85"/>
      <c r="FR127" s="85"/>
      <c r="FS127" s="85"/>
      <c r="FT127" s="85"/>
      <c r="FU127" s="85"/>
      <c r="FV127" s="85"/>
      <c r="FW127" s="85"/>
      <c r="FX127" s="85"/>
      <c r="FY127" s="85"/>
      <c r="FZ127" s="85"/>
      <c r="GA127" s="85"/>
      <c r="GB127" s="85"/>
      <c r="GC127" s="85"/>
    </row>
    <row r="128" spans="1:185" x14ac:dyDescent="0.35">
      <c r="A128" s="85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5"/>
      <c r="AM128" s="85"/>
      <c r="AN128" s="85"/>
      <c r="AO128" s="85"/>
      <c r="AP128" s="85"/>
      <c r="AQ128" s="85"/>
      <c r="AR128" s="85"/>
      <c r="AS128" s="85"/>
      <c r="AT128" s="85"/>
      <c r="AU128" s="85"/>
      <c r="AV128" s="85"/>
      <c r="AW128" s="85"/>
      <c r="AX128" s="85"/>
      <c r="AY128" s="85"/>
      <c r="AZ128" s="85"/>
      <c r="BA128" s="85"/>
      <c r="BB128" s="85"/>
      <c r="BC128" s="85"/>
      <c r="BD128" s="85"/>
      <c r="BE128" s="85"/>
      <c r="BF128" s="85"/>
      <c r="BG128" s="85"/>
      <c r="BH128" s="85"/>
      <c r="BI128" s="85"/>
      <c r="BJ128" s="85"/>
      <c r="BK128" s="85"/>
      <c r="BL128" s="85"/>
      <c r="BM128" s="85"/>
      <c r="BN128" s="85"/>
      <c r="BO128" s="85"/>
      <c r="BP128" s="85"/>
      <c r="BQ128" s="85"/>
      <c r="BR128" s="85"/>
      <c r="BS128" s="85"/>
      <c r="BT128" s="85"/>
      <c r="BU128" s="85"/>
      <c r="BV128" s="85"/>
      <c r="BW128" s="85"/>
      <c r="BX128" s="85"/>
      <c r="BY128" s="85"/>
      <c r="BZ128" s="85"/>
      <c r="CA128" s="85"/>
      <c r="CB128" s="85"/>
      <c r="CC128" s="85"/>
      <c r="CD128" s="85"/>
      <c r="CE128" s="85"/>
      <c r="CF128" s="85"/>
      <c r="CG128" s="85"/>
      <c r="CH128" s="85"/>
      <c r="CI128" s="85"/>
      <c r="CJ128" s="85"/>
      <c r="CK128" s="85"/>
      <c r="CL128" s="85"/>
      <c r="CM128" s="85"/>
      <c r="CN128" s="85"/>
      <c r="CO128" s="85"/>
      <c r="CP128" s="85"/>
      <c r="CQ128" s="85"/>
      <c r="CR128" s="85"/>
      <c r="CS128" s="85"/>
      <c r="CT128" s="85"/>
      <c r="CU128" s="85"/>
      <c r="CV128" s="85"/>
      <c r="CW128" s="85"/>
      <c r="CX128" s="85"/>
      <c r="CY128" s="85"/>
      <c r="CZ128" s="85"/>
      <c r="DA128" s="85"/>
      <c r="DB128" s="85"/>
      <c r="DC128" s="85"/>
      <c r="DD128" s="85"/>
      <c r="DE128" s="85"/>
      <c r="DF128" s="85"/>
      <c r="DG128" s="85"/>
      <c r="DH128" s="85"/>
      <c r="DI128" s="85"/>
      <c r="DJ128" s="85"/>
      <c r="DK128" s="85"/>
      <c r="DL128" s="85"/>
      <c r="DM128" s="85"/>
      <c r="DN128" s="85"/>
      <c r="DO128" s="85"/>
      <c r="DP128" s="85"/>
      <c r="DQ128" s="85"/>
      <c r="DR128" s="85"/>
      <c r="DS128" s="85"/>
      <c r="DT128" s="85"/>
      <c r="DU128" s="85"/>
      <c r="DV128" s="85"/>
      <c r="DW128" s="85"/>
      <c r="DX128" s="85"/>
      <c r="DY128" s="85"/>
      <c r="DZ128" s="85"/>
      <c r="EA128" s="85"/>
      <c r="EB128" s="85"/>
      <c r="EC128" s="85"/>
      <c r="ED128" s="85"/>
      <c r="EE128" s="85"/>
      <c r="EF128" s="85"/>
      <c r="EG128" s="85"/>
      <c r="EH128" s="85"/>
      <c r="EI128" s="85"/>
      <c r="EJ128" s="85"/>
      <c r="EK128" s="85"/>
      <c r="EL128" s="85"/>
      <c r="EM128" s="85"/>
      <c r="EN128" s="85"/>
      <c r="EO128" s="85"/>
      <c r="EP128" s="85"/>
      <c r="EQ128" s="85"/>
      <c r="ER128" s="85"/>
      <c r="ES128" s="85"/>
      <c r="ET128" s="85"/>
      <c r="EU128" s="85"/>
      <c r="EV128" s="85"/>
      <c r="EW128" s="85"/>
      <c r="EX128" s="85"/>
      <c r="EY128" s="85"/>
      <c r="EZ128" s="85"/>
      <c r="FA128" s="85"/>
      <c r="FB128" s="85"/>
      <c r="FC128" s="85"/>
      <c r="FD128" s="85"/>
      <c r="FE128" s="85"/>
      <c r="FF128" s="85"/>
      <c r="FG128" s="85"/>
      <c r="FH128" s="85"/>
      <c r="FI128" s="85"/>
      <c r="FJ128" s="85"/>
      <c r="FK128" s="85"/>
      <c r="FL128" s="85"/>
      <c r="FM128" s="85"/>
      <c r="FN128" s="85"/>
      <c r="FO128" s="85"/>
      <c r="FP128" s="85"/>
      <c r="FQ128" s="85"/>
      <c r="FR128" s="85"/>
      <c r="FS128" s="85"/>
      <c r="FT128" s="85"/>
      <c r="FU128" s="85"/>
      <c r="FV128" s="85"/>
      <c r="FW128" s="85"/>
      <c r="FX128" s="85"/>
      <c r="FY128" s="85"/>
      <c r="FZ128" s="85"/>
      <c r="GA128" s="85"/>
      <c r="GB128" s="85"/>
      <c r="GC128" s="85"/>
    </row>
    <row r="129" spans="1:185" x14ac:dyDescent="0.35">
      <c r="A129" s="85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5"/>
      <c r="AM129" s="85"/>
      <c r="AN129" s="85"/>
      <c r="AO129" s="85"/>
      <c r="AP129" s="85"/>
      <c r="AQ129" s="85"/>
      <c r="AR129" s="85"/>
      <c r="AS129" s="85"/>
      <c r="AT129" s="85"/>
      <c r="AU129" s="85"/>
      <c r="AV129" s="85"/>
      <c r="AW129" s="85"/>
      <c r="AX129" s="85"/>
      <c r="AY129" s="85"/>
      <c r="AZ129" s="85"/>
      <c r="BA129" s="85"/>
      <c r="BB129" s="85"/>
      <c r="BC129" s="85"/>
      <c r="BD129" s="85"/>
      <c r="BE129" s="85"/>
      <c r="BF129" s="85"/>
      <c r="BG129" s="85"/>
      <c r="BH129" s="85"/>
      <c r="BI129" s="85"/>
      <c r="BJ129" s="85"/>
      <c r="BK129" s="85"/>
      <c r="BL129" s="85"/>
      <c r="BM129" s="85"/>
      <c r="BN129" s="85"/>
      <c r="BO129" s="85"/>
      <c r="BP129" s="85"/>
      <c r="BQ129" s="85"/>
      <c r="BR129" s="85"/>
      <c r="BS129" s="85"/>
      <c r="BT129" s="85"/>
      <c r="BU129" s="85"/>
      <c r="BV129" s="85"/>
      <c r="BW129" s="85"/>
      <c r="BX129" s="85"/>
      <c r="BY129" s="85"/>
      <c r="BZ129" s="85"/>
      <c r="CA129" s="85"/>
      <c r="CB129" s="85"/>
      <c r="CC129" s="85"/>
      <c r="CD129" s="85"/>
      <c r="CE129" s="85"/>
      <c r="CF129" s="85"/>
      <c r="CG129" s="85"/>
      <c r="CH129" s="85"/>
      <c r="CI129" s="85"/>
      <c r="CJ129" s="85"/>
      <c r="CK129" s="85"/>
      <c r="CL129" s="85"/>
      <c r="CM129" s="85"/>
      <c r="CN129" s="85"/>
      <c r="CO129" s="85"/>
      <c r="CP129" s="85"/>
      <c r="CQ129" s="85"/>
      <c r="CR129" s="85"/>
      <c r="CS129" s="85"/>
      <c r="CT129" s="85"/>
      <c r="CU129" s="85"/>
      <c r="CV129" s="85"/>
      <c r="CW129" s="85"/>
      <c r="CX129" s="85"/>
      <c r="CY129" s="85"/>
      <c r="CZ129" s="85"/>
      <c r="DA129" s="85"/>
      <c r="DB129" s="85"/>
      <c r="DC129" s="85"/>
      <c r="DD129" s="85"/>
      <c r="DE129" s="85"/>
      <c r="DF129" s="85"/>
      <c r="DG129" s="85"/>
      <c r="DH129" s="85"/>
      <c r="DI129" s="85"/>
      <c r="DJ129" s="85"/>
      <c r="DK129" s="85"/>
      <c r="DL129" s="85"/>
      <c r="DM129" s="85"/>
      <c r="DN129" s="85"/>
      <c r="DO129" s="85"/>
      <c r="DP129" s="85"/>
      <c r="DQ129" s="85"/>
      <c r="DR129" s="85"/>
      <c r="DS129" s="85"/>
      <c r="DT129" s="85"/>
      <c r="DU129" s="85"/>
      <c r="DV129" s="85"/>
      <c r="DW129" s="85"/>
      <c r="DX129" s="85"/>
      <c r="DY129" s="85"/>
      <c r="DZ129" s="85"/>
      <c r="EA129" s="85"/>
      <c r="EB129" s="85"/>
      <c r="EC129" s="85"/>
      <c r="ED129" s="85"/>
      <c r="EE129" s="85"/>
      <c r="EF129" s="85"/>
      <c r="EG129" s="85"/>
      <c r="EH129" s="85"/>
      <c r="EI129" s="85"/>
      <c r="EJ129" s="85"/>
      <c r="EK129" s="85"/>
      <c r="EL129" s="85"/>
      <c r="EM129" s="85"/>
      <c r="EN129" s="85"/>
      <c r="EO129" s="85"/>
      <c r="EP129" s="85"/>
      <c r="EQ129" s="85"/>
      <c r="ER129" s="85"/>
      <c r="ES129" s="85"/>
      <c r="ET129" s="85"/>
      <c r="EU129" s="85"/>
      <c r="EV129" s="85"/>
      <c r="EW129" s="85"/>
      <c r="EX129" s="85"/>
      <c r="EY129" s="85"/>
      <c r="EZ129" s="85"/>
      <c r="FA129" s="85"/>
      <c r="FB129" s="85"/>
      <c r="FC129" s="85"/>
      <c r="FD129" s="85"/>
      <c r="FE129" s="85"/>
      <c r="FF129" s="85"/>
      <c r="FG129" s="85"/>
      <c r="FH129" s="85"/>
      <c r="FI129" s="85"/>
      <c r="FJ129" s="85"/>
      <c r="FK129" s="85"/>
      <c r="FL129" s="85"/>
      <c r="FM129" s="85"/>
      <c r="FN129" s="85"/>
      <c r="FO129" s="85"/>
      <c r="FP129" s="85"/>
      <c r="FQ129" s="85"/>
      <c r="FR129" s="85"/>
      <c r="FS129" s="85"/>
      <c r="FT129" s="85"/>
      <c r="FU129" s="85"/>
      <c r="FV129" s="85"/>
      <c r="FW129" s="85"/>
      <c r="FX129" s="85"/>
      <c r="FY129" s="85"/>
      <c r="FZ129" s="85"/>
      <c r="GA129" s="85"/>
      <c r="GB129" s="85"/>
      <c r="GC129" s="85"/>
    </row>
    <row r="130" spans="1:185" x14ac:dyDescent="0.35">
      <c r="A130" s="85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5"/>
      <c r="AM130" s="85"/>
      <c r="AN130" s="85"/>
      <c r="AO130" s="85"/>
      <c r="AP130" s="85"/>
      <c r="AQ130" s="85"/>
      <c r="AR130" s="85"/>
      <c r="AS130" s="85"/>
      <c r="AT130" s="85"/>
      <c r="AU130" s="85"/>
      <c r="AV130" s="85"/>
      <c r="AW130" s="85"/>
      <c r="AX130" s="85"/>
      <c r="AY130" s="85"/>
      <c r="AZ130" s="85"/>
      <c r="BA130" s="85"/>
      <c r="BB130" s="85"/>
      <c r="BC130" s="85"/>
      <c r="BD130" s="85"/>
      <c r="BE130" s="85"/>
      <c r="BF130" s="85"/>
      <c r="BG130" s="85"/>
      <c r="BH130" s="85"/>
      <c r="BI130" s="85"/>
      <c r="BJ130" s="85"/>
      <c r="BK130" s="85"/>
      <c r="BL130" s="85"/>
      <c r="BM130" s="85"/>
      <c r="BN130" s="85"/>
      <c r="BO130" s="85"/>
      <c r="BP130" s="85"/>
      <c r="BQ130" s="85"/>
      <c r="BR130" s="85"/>
      <c r="BS130" s="85"/>
      <c r="BT130" s="85"/>
      <c r="BU130" s="85"/>
      <c r="BV130" s="85"/>
      <c r="BW130" s="85"/>
      <c r="BX130" s="85"/>
      <c r="BY130" s="85"/>
      <c r="BZ130" s="85"/>
      <c r="CA130" s="85"/>
      <c r="CB130" s="85"/>
      <c r="CC130" s="85"/>
      <c r="CD130" s="85"/>
      <c r="CE130" s="85"/>
      <c r="CF130" s="85"/>
      <c r="CG130" s="85"/>
      <c r="CH130" s="85"/>
      <c r="CI130" s="85"/>
      <c r="CJ130" s="85"/>
      <c r="CK130" s="85"/>
      <c r="CL130" s="85"/>
      <c r="CM130" s="85"/>
      <c r="CN130" s="85"/>
      <c r="CO130" s="85"/>
      <c r="CP130" s="85"/>
      <c r="CQ130" s="85"/>
      <c r="CR130" s="85"/>
      <c r="CS130" s="85"/>
      <c r="CT130" s="85"/>
      <c r="CU130" s="85"/>
      <c r="CV130" s="85"/>
      <c r="CW130" s="85"/>
      <c r="CX130" s="85"/>
      <c r="CY130" s="85"/>
      <c r="CZ130" s="85"/>
      <c r="DA130" s="85"/>
      <c r="DB130" s="85"/>
      <c r="DC130" s="85"/>
      <c r="DD130" s="85"/>
      <c r="DE130" s="85"/>
      <c r="DF130" s="85"/>
      <c r="DG130" s="85"/>
      <c r="DH130" s="85"/>
      <c r="DI130" s="85"/>
      <c r="DJ130" s="85"/>
      <c r="DK130" s="85"/>
      <c r="DL130" s="85"/>
      <c r="DM130" s="85"/>
      <c r="DN130" s="85"/>
      <c r="DO130" s="85"/>
      <c r="DP130" s="85"/>
      <c r="DQ130" s="85"/>
      <c r="DR130" s="85"/>
      <c r="DS130" s="85"/>
      <c r="DT130" s="85"/>
      <c r="DU130" s="85"/>
      <c r="DV130" s="85"/>
      <c r="DW130" s="85"/>
      <c r="DX130" s="85"/>
      <c r="DY130" s="85"/>
      <c r="DZ130" s="85"/>
      <c r="EA130" s="85"/>
      <c r="EB130" s="85"/>
      <c r="EC130" s="85"/>
      <c r="ED130" s="85"/>
      <c r="EE130" s="85"/>
      <c r="EF130" s="85"/>
      <c r="EG130" s="85"/>
      <c r="EH130" s="85"/>
      <c r="EI130" s="85"/>
      <c r="EJ130" s="85"/>
      <c r="EK130" s="85"/>
      <c r="EL130" s="85"/>
      <c r="EM130" s="85"/>
      <c r="EN130" s="85"/>
      <c r="EO130" s="85"/>
      <c r="EP130" s="85"/>
      <c r="EQ130" s="85"/>
      <c r="ER130" s="85"/>
      <c r="ES130" s="85"/>
      <c r="ET130" s="85"/>
      <c r="EU130" s="85"/>
      <c r="EV130" s="85"/>
      <c r="EW130" s="85"/>
      <c r="EX130" s="85"/>
      <c r="EY130" s="85"/>
      <c r="EZ130" s="85"/>
      <c r="FA130" s="85"/>
      <c r="FB130" s="85"/>
      <c r="FC130" s="85"/>
      <c r="FD130" s="85"/>
      <c r="FE130" s="85"/>
      <c r="FF130" s="85"/>
      <c r="FG130" s="85"/>
      <c r="FH130" s="85"/>
      <c r="FI130" s="85"/>
      <c r="FJ130" s="85"/>
      <c r="FK130" s="85"/>
      <c r="FL130" s="85"/>
      <c r="FM130" s="85"/>
      <c r="FN130" s="85"/>
      <c r="FO130" s="85"/>
      <c r="FP130" s="85"/>
      <c r="FQ130" s="85"/>
      <c r="FR130" s="85"/>
      <c r="FS130" s="85"/>
      <c r="FT130" s="85"/>
      <c r="FU130" s="85"/>
      <c r="FV130" s="85"/>
      <c r="FW130" s="85"/>
      <c r="FX130" s="85"/>
      <c r="FY130" s="85"/>
      <c r="FZ130" s="85"/>
      <c r="GA130" s="85"/>
      <c r="GB130" s="85"/>
      <c r="GC130" s="85"/>
    </row>
    <row r="131" spans="1:185" x14ac:dyDescent="0.35">
      <c r="A131" s="85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5"/>
      <c r="AM131" s="85"/>
      <c r="AN131" s="85"/>
      <c r="AO131" s="85"/>
      <c r="AP131" s="85"/>
      <c r="AQ131" s="85"/>
      <c r="AR131" s="85"/>
      <c r="AS131" s="85"/>
      <c r="AT131" s="85"/>
      <c r="AU131" s="85"/>
      <c r="AV131" s="85"/>
      <c r="AW131" s="85"/>
      <c r="AX131" s="85"/>
      <c r="AY131" s="85"/>
      <c r="AZ131" s="85"/>
      <c r="BA131" s="85"/>
      <c r="BB131" s="85"/>
      <c r="BC131" s="85"/>
      <c r="BD131" s="85"/>
      <c r="BE131" s="85"/>
      <c r="BF131" s="85"/>
      <c r="BG131" s="85"/>
      <c r="BH131" s="85"/>
      <c r="BI131" s="85"/>
      <c r="BJ131" s="85"/>
      <c r="BK131" s="85"/>
      <c r="BL131" s="85"/>
      <c r="BM131" s="85"/>
      <c r="BN131" s="85"/>
      <c r="BO131" s="85"/>
      <c r="BP131" s="85"/>
      <c r="BQ131" s="85"/>
      <c r="BR131" s="85"/>
      <c r="BS131" s="85"/>
      <c r="BT131" s="85"/>
      <c r="BU131" s="85"/>
      <c r="BV131" s="85"/>
      <c r="BW131" s="85"/>
      <c r="BX131" s="85"/>
      <c r="BY131" s="85"/>
      <c r="BZ131" s="85"/>
      <c r="CA131" s="85"/>
      <c r="CB131" s="85"/>
      <c r="CC131" s="85"/>
      <c r="CD131" s="85"/>
      <c r="CE131" s="85"/>
      <c r="CF131" s="85"/>
      <c r="CG131" s="85"/>
      <c r="CH131" s="85"/>
      <c r="CI131" s="85"/>
      <c r="CJ131" s="85"/>
      <c r="CK131" s="85"/>
      <c r="CL131" s="85"/>
      <c r="CM131" s="85"/>
      <c r="CN131" s="85"/>
      <c r="CO131" s="85"/>
      <c r="CP131" s="85"/>
      <c r="CQ131" s="85"/>
      <c r="CR131" s="85"/>
      <c r="CS131" s="85"/>
      <c r="CT131" s="85"/>
      <c r="CU131" s="85"/>
      <c r="CV131" s="85"/>
      <c r="CW131" s="85"/>
      <c r="CX131" s="85"/>
      <c r="CY131" s="85"/>
      <c r="CZ131" s="85"/>
      <c r="DA131" s="85"/>
      <c r="DB131" s="85"/>
      <c r="DC131" s="85"/>
      <c r="DD131" s="85"/>
      <c r="DE131" s="85"/>
      <c r="DF131" s="85"/>
      <c r="DG131" s="85"/>
      <c r="DH131" s="85"/>
      <c r="DI131" s="85"/>
      <c r="DJ131" s="85"/>
      <c r="DK131" s="85"/>
      <c r="DL131" s="85"/>
      <c r="DM131" s="85"/>
      <c r="DN131" s="85"/>
      <c r="DO131" s="85"/>
      <c r="DP131" s="85"/>
      <c r="DQ131" s="85"/>
      <c r="DR131" s="85"/>
      <c r="DS131" s="85"/>
      <c r="DT131" s="85"/>
      <c r="DU131" s="85"/>
      <c r="DV131" s="85"/>
      <c r="DW131" s="85"/>
      <c r="DX131" s="85"/>
      <c r="DY131" s="85"/>
      <c r="DZ131" s="85"/>
      <c r="EA131" s="85"/>
      <c r="EB131" s="85"/>
      <c r="EC131" s="85"/>
      <c r="ED131" s="85"/>
      <c r="EE131" s="85"/>
      <c r="EF131" s="85"/>
      <c r="EG131" s="85"/>
      <c r="EH131" s="85"/>
      <c r="EI131" s="85"/>
      <c r="EJ131" s="85"/>
      <c r="EK131" s="85"/>
      <c r="EL131" s="85"/>
      <c r="EM131" s="85"/>
      <c r="EN131" s="85"/>
      <c r="EO131" s="85"/>
      <c r="EP131" s="85"/>
      <c r="EQ131" s="85"/>
      <c r="ER131" s="85"/>
      <c r="ES131" s="85"/>
      <c r="ET131" s="85"/>
      <c r="EU131" s="85"/>
      <c r="EV131" s="85"/>
      <c r="EW131" s="85"/>
      <c r="EX131" s="85"/>
      <c r="EY131" s="85"/>
      <c r="EZ131" s="85"/>
      <c r="FA131" s="85"/>
      <c r="FB131" s="85"/>
      <c r="FC131" s="85"/>
      <c r="FD131" s="85"/>
      <c r="FE131" s="85"/>
      <c r="FF131" s="85"/>
      <c r="FG131" s="85"/>
      <c r="FH131" s="85"/>
      <c r="FI131" s="85"/>
      <c r="FJ131" s="85"/>
      <c r="FK131" s="85"/>
      <c r="FL131" s="85"/>
      <c r="FM131" s="85"/>
      <c r="FN131" s="85"/>
      <c r="FO131" s="85"/>
      <c r="FP131" s="85"/>
      <c r="FQ131" s="85"/>
      <c r="FR131" s="85"/>
      <c r="FS131" s="85"/>
      <c r="FT131" s="85"/>
      <c r="FU131" s="85"/>
      <c r="FV131" s="85"/>
      <c r="FW131" s="85"/>
      <c r="FX131" s="85"/>
      <c r="FY131" s="85"/>
      <c r="FZ131" s="85"/>
      <c r="GA131" s="85"/>
      <c r="GB131" s="85"/>
      <c r="GC131" s="85"/>
    </row>
    <row r="132" spans="1:185" x14ac:dyDescent="0.35">
      <c r="A132" s="85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85"/>
      <c r="AP132" s="85"/>
      <c r="AQ132" s="85"/>
      <c r="AR132" s="85"/>
      <c r="AS132" s="85"/>
      <c r="AT132" s="85"/>
      <c r="AU132" s="85"/>
      <c r="AV132" s="85"/>
      <c r="AW132" s="85"/>
      <c r="AX132" s="85"/>
      <c r="AY132" s="85"/>
      <c r="AZ132" s="85"/>
      <c r="BA132" s="85"/>
      <c r="BB132" s="85"/>
      <c r="BC132" s="85"/>
      <c r="BD132" s="85"/>
      <c r="BE132" s="85"/>
      <c r="BF132" s="85"/>
      <c r="BG132" s="85"/>
      <c r="BH132" s="85"/>
      <c r="BI132" s="85"/>
      <c r="BJ132" s="85"/>
      <c r="BK132" s="85"/>
      <c r="BL132" s="85"/>
      <c r="BM132" s="85"/>
      <c r="BN132" s="85"/>
      <c r="BO132" s="85"/>
      <c r="BP132" s="85"/>
      <c r="BQ132" s="85"/>
      <c r="BR132" s="85"/>
      <c r="BS132" s="85"/>
      <c r="BT132" s="85"/>
      <c r="BU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  <c r="DF132" s="85"/>
      <c r="DG132" s="85"/>
      <c r="DH132" s="85"/>
      <c r="DI132" s="85"/>
      <c r="DJ132" s="85"/>
      <c r="DK132" s="85"/>
      <c r="DL132" s="85"/>
      <c r="DM132" s="85"/>
      <c r="DN132" s="85"/>
      <c r="DO132" s="85"/>
      <c r="DP132" s="85"/>
      <c r="DQ132" s="85"/>
      <c r="DR132" s="85"/>
      <c r="DS132" s="85"/>
      <c r="DT132" s="85"/>
      <c r="DU132" s="85"/>
      <c r="DV132" s="85"/>
      <c r="DW132" s="85"/>
      <c r="DX132" s="85"/>
      <c r="DY132" s="85"/>
      <c r="DZ132" s="85"/>
      <c r="EA132" s="85"/>
      <c r="EB132" s="85"/>
      <c r="EC132" s="85"/>
      <c r="ED132" s="85"/>
      <c r="EE132" s="85"/>
      <c r="EF132" s="85"/>
      <c r="EG132" s="85"/>
      <c r="EH132" s="85"/>
      <c r="EI132" s="85"/>
      <c r="EJ132" s="85"/>
      <c r="EK132" s="85"/>
      <c r="EL132" s="85"/>
      <c r="EM132" s="85"/>
      <c r="EN132" s="85"/>
      <c r="EO132" s="85"/>
      <c r="EP132" s="85"/>
      <c r="EQ132" s="85"/>
      <c r="ER132" s="85"/>
      <c r="ES132" s="85"/>
      <c r="ET132" s="85"/>
      <c r="EU132" s="85"/>
      <c r="EV132" s="85"/>
      <c r="EW132" s="85"/>
      <c r="EX132" s="85"/>
      <c r="EY132" s="85"/>
      <c r="EZ132" s="85"/>
      <c r="FA132" s="85"/>
      <c r="FB132" s="85"/>
      <c r="FC132" s="85"/>
      <c r="FD132" s="85"/>
      <c r="FE132" s="85"/>
      <c r="FF132" s="85"/>
      <c r="FG132" s="85"/>
      <c r="FH132" s="85"/>
      <c r="FI132" s="85"/>
      <c r="FJ132" s="85"/>
      <c r="FK132" s="85"/>
      <c r="FL132" s="85"/>
      <c r="FM132" s="85"/>
      <c r="FN132" s="85"/>
      <c r="FO132" s="85"/>
      <c r="FP132" s="85"/>
      <c r="FQ132" s="85"/>
      <c r="FR132" s="85"/>
      <c r="FS132" s="85"/>
      <c r="FT132" s="85"/>
      <c r="FU132" s="85"/>
      <c r="FV132" s="85"/>
      <c r="FW132" s="85"/>
      <c r="FX132" s="85"/>
      <c r="FY132" s="85"/>
      <c r="FZ132" s="85"/>
      <c r="GA132" s="85"/>
      <c r="GB132" s="85"/>
      <c r="GC132" s="85"/>
    </row>
    <row r="133" spans="1:185" x14ac:dyDescent="0.35">
      <c r="A133" s="85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  <c r="AU133" s="85"/>
      <c r="AV133" s="85"/>
      <c r="AW133" s="85"/>
      <c r="AX133" s="85"/>
      <c r="AY133" s="85"/>
      <c r="AZ133" s="85"/>
      <c r="BA133" s="85"/>
      <c r="BB133" s="85"/>
      <c r="BC133" s="85"/>
      <c r="BD133" s="85"/>
      <c r="BE133" s="85"/>
      <c r="BF133" s="85"/>
      <c r="BG133" s="85"/>
      <c r="BH133" s="85"/>
      <c r="BI133" s="85"/>
      <c r="BJ133" s="85"/>
      <c r="BK133" s="85"/>
      <c r="BL133" s="85"/>
      <c r="BM133" s="85"/>
      <c r="BN133" s="85"/>
      <c r="BO133" s="85"/>
      <c r="BP133" s="85"/>
      <c r="BQ133" s="85"/>
      <c r="BR133" s="85"/>
      <c r="BS133" s="85"/>
      <c r="BT133" s="85"/>
      <c r="BU133" s="85"/>
      <c r="BV133" s="85"/>
      <c r="BW133" s="85"/>
      <c r="BX133" s="85"/>
      <c r="BY133" s="85"/>
      <c r="BZ133" s="85"/>
      <c r="CA133" s="85"/>
      <c r="CB133" s="85"/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  <c r="CS133" s="85"/>
      <c r="CT133" s="85"/>
      <c r="CU133" s="85"/>
      <c r="CV133" s="85"/>
      <c r="CW133" s="85"/>
      <c r="CX133" s="85"/>
      <c r="CY133" s="85"/>
      <c r="CZ133" s="85"/>
      <c r="DA133" s="85"/>
      <c r="DB133" s="85"/>
      <c r="DC133" s="85"/>
      <c r="DD133" s="85"/>
      <c r="DE133" s="85"/>
      <c r="DF133" s="85"/>
      <c r="DG133" s="85"/>
      <c r="DH133" s="85"/>
      <c r="DI133" s="85"/>
      <c r="DJ133" s="85"/>
      <c r="DK133" s="85"/>
      <c r="DL133" s="85"/>
      <c r="DM133" s="85"/>
      <c r="DN133" s="85"/>
      <c r="DO133" s="85"/>
      <c r="DP133" s="85"/>
      <c r="DQ133" s="85"/>
      <c r="DR133" s="85"/>
      <c r="DS133" s="85"/>
      <c r="DT133" s="85"/>
      <c r="DU133" s="85"/>
      <c r="DV133" s="85"/>
      <c r="DW133" s="85"/>
      <c r="DX133" s="85"/>
      <c r="DY133" s="85"/>
      <c r="DZ133" s="85"/>
      <c r="EA133" s="85"/>
      <c r="EB133" s="85"/>
      <c r="EC133" s="85"/>
      <c r="ED133" s="85"/>
      <c r="EE133" s="85"/>
      <c r="EF133" s="85"/>
      <c r="EG133" s="85"/>
      <c r="EH133" s="85"/>
      <c r="EI133" s="85"/>
      <c r="EJ133" s="85"/>
      <c r="EK133" s="85"/>
      <c r="EL133" s="85"/>
      <c r="EM133" s="85"/>
      <c r="EN133" s="85"/>
      <c r="EO133" s="85"/>
      <c r="EP133" s="85"/>
      <c r="EQ133" s="85"/>
      <c r="ER133" s="85"/>
      <c r="ES133" s="85"/>
      <c r="ET133" s="85"/>
      <c r="EU133" s="85"/>
      <c r="EV133" s="85"/>
      <c r="EW133" s="85"/>
      <c r="EX133" s="85"/>
      <c r="EY133" s="85"/>
      <c r="EZ133" s="85"/>
      <c r="FA133" s="85"/>
      <c r="FB133" s="85"/>
      <c r="FC133" s="85"/>
      <c r="FD133" s="85"/>
      <c r="FE133" s="85"/>
      <c r="FF133" s="85"/>
      <c r="FG133" s="85"/>
      <c r="FH133" s="85"/>
      <c r="FI133" s="85"/>
      <c r="FJ133" s="85"/>
      <c r="FK133" s="85"/>
      <c r="FL133" s="85"/>
      <c r="FM133" s="85"/>
      <c r="FN133" s="85"/>
      <c r="FO133" s="85"/>
      <c r="FP133" s="85"/>
      <c r="FQ133" s="85"/>
      <c r="FR133" s="85"/>
      <c r="FS133" s="85"/>
      <c r="FT133" s="85"/>
      <c r="FU133" s="85"/>
      <c r="FV133" s="85"/>
      <c r="FW133" s="85"/>
      <c r="FX133" s="85"/>
      <c r="FY133" s="85"/>
      <c r="FZ133" s="85"/>
      <c r="GA133" s="85"/>
      <c r="GB133" s="85"/>
      <c r="GC133" s="85"/>
    </row>
    <row r="134" spans="1:185" x14ac:dyDescent="0.35">
      <c r="A134" s="85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5"/>
      <c r="AM134" s="85"/>
      <c r="AN134" s="85"/>
      <c r="AO134" s="85"/>
      <c r="AP134" s="85"/>
      <c r="AQ134" s="85"/>
      <c r="AR134" s="85"/>
      <c r="AS134" s="85"/>
      <c r="AT134" s="85"/>
      <c r="AU134" s="85"/>
      <c r="AV134" s="85"/>
      <c r="AW134" s="85"/>
      <c r="AX134" s="85"/>
      <c r="AY134" s="85"/>
      <c r="AZ134" s="85"/>
      <c r="BA134" s="85"/>
      <c r="BB134" s="85"/>
      <c r="BC134" s="85"/>
      <c r="BD134" s="85"/>
      <c r="BE134" s="85"/>
      <c r="BF134" s="85"/>
      <c r="BG134" s="85"/>
      <c r="BH134" s="85"/>
      <c r="BI134" s="85"/>
      <c r="BJ134" s="85"/>
      <c r="BK134" s="85"/>
      <c r="BL134" s="85"/>
      <c r="BM134" s="85"/>
      <c r="BN134" s="85"/>
      <c r="BO134" s="85"/>
      <c r="BP134" s="85"/>
      <c r="BQ134" s="85"/>
      <c r="BR134" s="85"/>
      <c r="BS134" s="85"/>
      <c r="BT134" s="85"/>
      <c r="BU134" s="85"/>
      <c r="BV134" s="85"/>
      <c r="BW134" s="85"/>
      <c r="BX134" s="85"/>
      <c r="BY134" s="85"/>
      <c r="BZ134" s="85"/>
      <c r="CA134" s="85"/>
      <c r="CB134" s="85"/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  <c r="CS134" s="85"/>
      <c r="CT134" s="85"/>
      <c r="CU134" s="85"/>
      <c r="CV134" s="85"/>
      <c r="CW134" s="85"/>
      <c r="CX134" s="85"/>
      <c r="CY134" s="85"/>
      <c r="CZ134" s="85"/>
      <c r="DA134" s="85"/>
      <c r="DB134" s="85"/>
      <c r="DC134" s="85"/>
      <c r="DD134" s="85"/>
      <c r="DE134" s="85"/>
      <c r="DF134" s="85"/>
      <c r="DG134" s="85"/>
      <c r="DH134" s="85"/>
      <c r="DI134" s="85"/>
      <c r="DJ134" s="85"/>
      <c r="DK134" s="85"/>
      <c r="DL134" s="85"/>
      <c r="DM134" s="85"/>
      <c r="DN134" s="85"/>
      <c r="DO134" s="85"/>
      <c r="DP134" s="85"/>
      <c r="DQ134" s="85"/>
      <c r="DR134" s="85"/>
      <c r="DS134" s="85"/>
      <c r="DT134" s="85"/>
      <c r="DU134" s="85"/>
      <c r="DV134" s="85"/>
      <c r="DW134" s="85"/>
      <c r="DX134" s="85"/>
      <c r="DY134" s="85"/>
      <c r="DZ134" s="85"/>
      <c r="EA134" s="85"/>
      <c r="EB134" s="85"/>
      <c r="EC134" s="85"/>
      <c r="ED134" s="85"/>
      <c r="EE134" s="85"/>
      <c r="EF134" s="85"/>
      <c r="EG134" s="85"/>
      <c r="EH134" s="85"/>
      <c r="EI134" s="85"/>
      <c r="EJ134" s="85"/>
      <c r="EK134" s="85"/>
      <c r="EL134" s="85"/>
      <c r="EM134" s="85"/>
      <c r="EN134" s="85"/>
      <c r="EO134" s="85"/>
      <c r="EP134" s="85"/>
      <c r="EQ134" s="85"/>
      <c r="ER134" s="85"/>
      <c r="ES134" s="85"/>
      <c r="ET134" s="85"/>
      <c r="EU134" s="85"/>
      <c r="EV134" s="85"/>
      <c r="EW134" s="85"/>
      <c r="EX134" s="85"/>
      <c r="EY134" s="85"/>
      <c r="EZ134" s="85"/>
      <c r="FA134" s="85"/>
      <c r="FB134" s="85"/>
      <c r="FC134" s="85"/>
      <c r="FD134" s="85"/>
      <c r="FE134" s="85"/>
      <c r="FF134" s="85"/>
      <c r="FG134" s="85"/>
      <c r="FH134" s="85"/>
      <c r="FI134" s="85"/>
      <c r="FJ134" s="85"/>
      <c r="FK134" s="85"/>
      <c r="FL134" s="85"/>
      <c r="FM134" s="85"/>
      <c r="FN134" s="85"/>
      <c r="FO134" s="85"/>
      <c r="FP134" s="85"/>
      <c r="FQ134" s="85"/>
      <c r="FR134" s="85"/>
      <c r="FS134" s="85"/>
      <c r="FT134" s="85"/>
      <c r="FU134" s="85"/>
      <c r="FV134" s="85"/>
      <c r="FW134" s="85"/>
      <c r="FX134" s="85"/>
      <c r="FY134" s="85"/>
      <c r="FZ134" s="85"/>
      <c r="GA134" s="85"/>
      <c r="GB134" s="85"/>
      <c r="GC134" s="85"/>
    </row>
    <row r="135" spans="1:185" x14ac:dyDescent="0.35">
      <c r="A135" s="85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5"/>
      <c r="AM135" s="85"/>
      <c r="AN135" s="85"/>
      <c r="AO135" s="85"/>
      <c r="AP135" s="85"/>
      <c r="AQ135" s="85"/>
      <c r="AR135" s="85"/>
      <c r="AS135" s="85"/>
      <c r="AT135" s="85"/>
      <c r="AU135" s="85"/>
      <c r="AV135" s="85"/>
      <c r="AW135" s="85"/>
      <c r="AX135" s="85"/>
      <c r="AY135" s="85"/>
      <c r="AZ135" s="85"/>
      <c r="BA135" s="85"/>
      <c r="BB135" s="85"/>
      <c r="BC135" s="85"/>
      <c r="BD135" s="85"/>
      <c r="BE135" s="85"/>
      <c r="BF135" s="85"/>
      <c r="BG135" s="85"/>
      <c r="BH135" s="85"/>
      <c r="BI135" s="85"/>
      <c r="BJ135" s="85"/>
      <c r="BK135" s="85"/>
      <c r="BL135" s="85"/>
      <c r="BM135" s="85"/>
      <c r="BN135" s="85"/>
      <c r="BO135" s="85"/>
      <c r="BP135" s="85"/>
      <c r="BQ135" s="85"/>
      <c r="BR135" s="85"/>
      <c r="BS135" s="85"/>
      <c r="BT135" s="85"/>
      <c r="BU135" s="85"/>
      <c r="BV135" s="85"/>
      <c r="BW135" s="85"/>
      <c r="BX135" s="85"/>
      <c r="BY135" s="85"/>
      <c r="BZ135" s="85"/>
      <c r="CA135" s="85"/>
      <c r="CB135" s="85"/>
      <c r="CC135" s="85"/>
      <c r="CD135" s="85"/>
      <c r="CE135" s="85"/>
      <c r="CF135" s="85"/>
      <c r="CG135" s="85"/>
      <c r="CH135" s="85"/>
      <c r="CI135" s="85"/>
      <c r="CJ135" s="85"/>
      <c r="CK135" s="85"/>
      <c r="CL135" s="85"/>
      <c r="CM135" s="85"/>
      <c r="CN135" s="85"/>
      <c r="CO135" s="85"/>
      <c r="CP135" s="85"/>
      <c r="CQ135" s="85"/>
      <c r="CR135" s="85"/>
      <c r="CS135" s="85"/>
      <c r="CT135" s="85"/>
      <c r="CU135" s="85"/>
      <c r="CV135" s="85"/>
      <c r="CW135" s="85"/>
      <c r="CX135" s="85"/>
      <c r="CY135" s="85"/>
      <c r="CZ135" s="85"/>
      <c r="DA135" s="85"/>
      <c r="DB135" s="85"/>
      <c r="DC135" s="85"/>
      <c r="DD135" s="85"/>
      <c r="DE135" s="85"/>
      <c r="DF135" s="85"/>
      <c r="DG135" s="85"/>
      <c r="DH135" s="85"/>
      <c r="DI135" s="85"/>
      <c r="DJ135" s="85"/>
      <c r="DK135" s="85"/>
      <c r="DL135" s="85"/>
      <c r="DM135" s="85"/>
      <c r="DN135" s="85"/>
      <c r="DO135" s="85"/>
      <c r="DP135" s="85"/>
      <c r="DQ135" s="85"/>
      <c r="DR135" s="85"/>
      <c r="DS135" s="85"/>
      <c r="DT135" s="85"/>
      <c r="DU135" s="85"/>
      <c r="DV135" s="85"/>
      <c r="DW135" s="85"/>
      <c r="DX135" s="85"/>
      <c r="DY135" s="85"/>
      <c r="DZ135" s="85"/>
      <c r="EA135" s="85"/>
      <c r="EB135" s="85"/>
      <c r="EC135" s="85"/>
      <c r="ED135" s="85"/>
      <c r="EE135" s="85"/>
      <c r="EF135" s="85"/>
      <c r="EG135" s="85"/>
      <c r="EH135" s="85"/>
      <c r="EI135" s="85"/>
      <c r="EJ135" s="85"/>
      <c r="EK135" s="85"/>
      <c r="EL135" s="85"/>
      <c r="EM135" s="85"/>
      <c r="EN135" s="85"/>
      <c r="EO135" s="85"/>
      <c r="EP135" s="85"/>
      <c r="EQ135" s="85"/>
      <c r="ER135" s="85"/>
      <c r="ES135" s="85"/>
      <c r="ET135" s="85"/>
      <c r="EU135" s="85"/>
      <c r="EV135" s="85"/>
      <c r="EW135" s="85"/>
      <c r="EX135" s="85"/>
      <c r="EY135" s="85"/>
      <c r="EZ135" s="85"/>
      <c r="FA135" s="85"/>
      <c r="FB135" s="85"/>
      <c r="FC135" s="85"/>
      <c r="FD135" s="85"/>
      <c r="FE135" s="85"/>
      <c r="FF135" s="85"/>
      <c r="FG135" s="85"/>
      <c r="FH135" s="85"/>
      <c r="FI135" s="85"/>
      <c r="FJ135" s="85"/>
      <c r="FK135" s="85"/>
      <c r="FL135" s="85"/>
      <c r="FM135" s="85"/>
      <c r="FN135" s="85"/>
      <c r="FO135" s="85"/>
      <c r="FP135" s="85"/>
      <c r="FQ135" s="85"/>
      <c r="FR135" s="85"/>
      <c r="FS135" s="85"/>
      <c r="FT135" s="85"/>
      <c r="FU135" s="85"/>
      <c r="FV135" s="85"/>
      <c r="FW135" s="85"/>
      <c r="FX135" s="85"/>
      <c r="FY135" s="85"/>
      <c r="FZ135" s="85"/>
      <c r="GA135" s="85"/>
      <c r="GB135" s="85"/>
      <c r="GC135" s="85"/>
    </row>
    <row r="136" spans="1:185" x14ac:dyDescent="0.35">
      <c r="A136" s="85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5"/>
      <c r="AM136" s="85"/>
      <c r="AN136" s="85"/>
      <c r="AO136" s="85"/>
      <c r="AP136" s="85"/>
      <c r="AQ136" s="85"/>
      <c r="AR136" s="85"/>
      <c r="AS136" s="85"/>
      <c r="AT136" s="85"/>
      <c r="AU136" s="85"/>
      <c r="AV136" s="85"/>
      <c r="AW136" s="85"/>
      <c r="AX136" s="85"/>
      <c r="AY136" s="85"/>
      <c r="AZ136" s="85"/>
      <c r="BA136" s="85"/>
      <c r="BB136" s="85"/>
      <c r="BC136" s="85"/>
      <c r="BD136" s="85"/>
      <c r="BE136" s="85"/>
      <c r="BF136" s="85"/>
      <c r="BG136" s="85"/>
      <c r="BH136" s="85"/>
      <c r="BI136" s="85"/>
      <c r="BJ136" s="85"/>
      <c r="BK136" s="85"/>
      <c r="BL136" s="85"/>
      <c r="BM136" s="85"/>
      <c r="BN136" s="85"/>
      <c r="BO136" s="85"/>
      <c r="BP136" s="85"/>
      <c r="BQ136" s="85"/>
      <c r="BR136" s="85"/>
      <c r="BS136" s="85"/>
      <c r="BT136" s="85"/>
      <c r="BU136" s="85"/>
      <c r="BV136" s="85"/>
      <c r="BW136" s="85"/>
      <c r="BX136" s="85"/>
      <c r="BY136" s="85"/>
      <c r="BZ136" s="85"/>
      <c r="CA136" s="85"/>
      <c r="CB136" s="85"/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  <c r="CS136" s="85"/>
      <c r="CT136" s="85"/>
      <c r="CU136" s="85"/>
      <c r="CV136" s="85"/>
      <c r="CW136" s="85"/>
      <c r="CX136" s="85"/>
      <c r="CY136" s="85"/>
      <c r="CZ136" s="85"/>
      <c r="DA136" s="85"/>
      <c r="DB136" s="85"/>
      <c r="DC136" s="85"/>
      <c r="DD136" s="85"/>
      <c r="DE136" s="85"/>
      <c r="DF136" s="85"/>
      <c r="DG136" s="85"/>
      <c r="DH136" s="85"/>
      <c r="DI136" s="85"/>
      <c r="DJ136" s="85"/>
      <c r="DK136" s="85"/>
      <c r="DL136" s="85"/>
      <c r="DM136" s="85"/>
      <c r="DN136" s="85"/>
      <c r="DO136" s="85"/>
      <c r="DP136" s="85"/>
      <c r="DQ136" s="85"/>
      <c r="DR136" s="85"/>
      <c r="DS136" s="85"/>
      <c r="DT136" s="85"/>
      <c r="DU136" s="85"/>
      <c r="DV136" s="85"/>
      <c r="DW136" s="85"/>
      <c r="DX136" s="85"/>
      <c r="DY136" s="85"/>
      <c r="DZ136" s="85"/>
      <c r="EA136" s="85"/>
      <c r="EB136" s="85"/>
      <c r="EC136" s="85"/>
      <c r="ED136" s="85"/>
      <c r="EE136" s="85"/>
      <c r="EF136" s="85"/>
      <c r="EG136" s="85"/>
      <c r="EH136" s="85"/>
      <c r="EI136" s="85"/>
      <c r="EJ136" s="85"/>
      <c r="EK136" s="85"/>
      <c r="EL136" s="85"/>
      <c r="EM136" s="85"/>
      <c r="EN136" s="85"/>
      <c r="EO136" s="85"/>
      <c r="EP136" s="85"/>
      <c r="EQ136" s="85"/>
      <c r="ER136" s="85"/>
      <c r="ES136" s="85"/>
      <c r="ET136" s="85"/>
      <c r="EU136" s="85"/>
      <c r="EV136" s="85"/>
      <c r="EW136" s="85"/>
      <c r="EX136" s="85"/>
      <c r="EY136" s="85"/>
      <c r="EZ136" s="85"/>
      <c r="FA136" s="85"/>
      <c r="FB136" s="85"/>
      <c r="FC136" s="85"/>
      <c r="FD136" s="85"/>
      <c r="FE136" s="85"/>
      <c r="FF136" s="85"/>
      <c r="FG136" s="85"/>
      <c r="FH136" s="85"/>
      <c r="FI136" s="85"/>
      <c r="FJ136" s="85"/>
      <c r="FK136" s="85"/>
      <c r="FL136" s="85"/>
      <c r="FM136" s="85"/>
      <c r="FN136" s="85"/>
      <c r="FO136" s="85"/>
      <c r="FP136" s="85"/>
      <c r="FQ136" s="85"/>
      <c r="FR136" s="85"/>
      <c r="FS136" s="85"/>
      <c r="FT136" s="85"/>
      <c r="FU136" s="85"/>
      <c r="FV136" s="85"/>
      <c r="FW136" s="85"/>
      <c r="FX136" s="85"/>
      <c r="FY136" s="85"/>
      <c r="FZ136" s="85"/>
      <c r="GA136" s="85"/>
      <c r="GB136" s="85"/>
      <c r="GC136" s="85"/>
    </row>
    <row r="137" spans="1:185" x14ac:dyDescent="0.35">
      <c r="A137" s="85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5"/>
      <c r="AM137" s="85"/>
      <c r="AN137" s="85"/>
      <c r="AO137" s="85"/>
      <c r="AP137" s="85"/>
      <c r="AQ137" s="85"/>
      <c r="AR137" s="85"/>
      <c r="AS137" s="85"/>
      <c r="AT137" s="85"/>
      <c r="AU137" s="85"/>
      <c r="AV137" s="85"/>
      <c r="AW137" s="85"/>
      <c r="AX137" s="85"/>
      <c r="AY137" s="85"/>
      <c r="AZ137" s="85"/>
      <c r="BA137" s="85"/>
      <c r="BB137" s="85"/>
      <c r="BC137" s="85"/>
      <c r="BD137" s="85"/>
      <c r="BE137" s="85"/>
      <c r="BF137" s="85"/>
      <c r="BG137" s="85"/>
      <c r="BH137" s="85"/>
      <c r="BI137" s="85"/>
      <c r="BJ137" s="85"/>
      <c r="BK137" s="85"/>
      <c r="BL137" s="85"/>
      <c r="BM137" s="85"/>
      <c r="BN137" s="85"/>
      <c r="BO137" s="85"/>
      <c r="BP137" s="85"/>
      <c r="BQ137" s="85"/>
      <c r="BR137" s="85"/>
      <c r="BS137" s="85"/>
      <c r="BT137" s="85"/>
      <c r="BU137" s="85"/>
      <c r="BV137" s="85"/>
      <c r="BW137" s="85"/>
      <c r="BX137" s="85"/>
      <c r="BY137" s="85"/>
      <c r="BZ137" s="85"/>
      <c r="CA137" s="85"/>
      <c r="CB137" s="85"/>
      <c r="CC137" s="85"/>
      <c r="CD137" s="85"/>
      <c r="CE137" s="85"/>
      <c r="CF137" s="85"/>
      <c r="CG137" s="85"/>
      <c r="CH137" s="85"/>
      <c r="CI137" s="85"/>
      <c r="CJ137" s="85"/>
      <c r="CK137" s="85"/>
      <c r="CL137" s="85"/>
      <c r="CM137" s="85"/>
      <c r="CN137" s="85"/>
      <c r="CO137" s="85"/>
      <c r="CP137" s="85"/>
      <c r="CQ137" s="85"/>
      <c r="CR137" s="85"/>
      <c r="CS137" s="85"/>
      <c r="CT137" s="85"/>
      <c r="CU137" s="85"/>
      <c r="CV137" s="85"/>
      <c r="CW137" s="85"/>
      <c r="CX137" s="85"/>
      <c r="CY137" s="85"/>
      <c r="CZ137" s="85"/>
      <c r="DA137" s="85"/>
      <c r="DB137" s="85"/>
      <c r="DC137" s="85"/>
      <c r="DD137" s="85"/>
      <c r="DE137" s="85"/>
      <c r="DF137" s="85"/>
      <c r="DG137" s="85"/>
      <c r="DH137" s="85"/>
      <c r="DI137" s="85"/>
      <c r="DJ137" s="85"/>
      <c r="DK137" s="85"/>
      <c r="DL137" s="85"/>
      <c r="DM137" s="85"/>
      <c r="DN137" s="85"/>
      <c r="DO137" s="85"/>
      <c r="DP137" s="85"/>
      <c r="DQ137" s="85"/>
      <c r="DR137" s="85"/>
      <c r="DS137" s="85"/>
      <c r="DT137" s="85"/>
      <c r="DU137" s="85"/>
      <c r="DV137" s="85"/>
      <c r="DW137" s="85"/>
      <c r="DX137" s="85"/>
      <c r="DY137" s="85"/>
      <c r="DZ137" s="85"/>
      <c r="EA137" s="85"/>
      <c r="EB137" s="85"/>
      <c r="EC137" s="85"/>
      <c r="ED137" s="85"/>
      <c r="EE137" s="85"/>
      <c r="EF137" s="85"/>
      <c r="EG137" s="85"/>
      <c r="EH137" s="85"/>
      <c r="EI137" s="85"/>
      <c r="EJ137" s="85"/>
      <c r="EK137" s="85"/>
      <c r="EL137" s="85"/>
      <c r="EM137" s="85"/>
      <c r="EN137" s="85"/>
      <c r="EO137" s="85"/>
      <c r="EP137" s="85"/>
      <c r="EQ137" s="85"/>
      <c r="ER137" s="85"/>
      <c r="ES137" s="85"/>
      <c r="ET137" s="85"/>
      <c r="EU137" s="85"/>
      <c r="EV137" s="85"/>
      <c r="EW137" s="85"/>
      <c r="EX137" s="85"/>
      <c r="EY137" s="85"/>
      <c r="EZ137" s="85"/>
      <c r="FA137" s="85"/>
      <c r="FB137" s="85"/>
      <c r="FC137" s="85"/>
      <c r="FD137" s="85"/>
      <c r="FE137" s="85"/>
      <c r="FF137" s="85"/>
      <c r="FG137" s="85"/>
      <c r="FH137" s="85"/>
      <c r="FI137" s="85"/>
      <c r="FJ137" s="85"/>
      <c r="FK137" s="85"/>
      <c r="FL137" s="85"/>
      <c r="FM137" s="85"/>
      <c r="FN137" s="85"/>
      <c r="FO137" s="85"/>
      <c r="FP137" s="85"/>
      <c r="FQ137" s="85"/>
      <c r="FR137" s="85"/>
      <c r="FS137" s="85"/>
      <c r="FT137" s="85"/>
      <c r="FU137" s="85"/>
      <c r="FV137" s="85"/>
      <c r="FW137" s="85"/>
      <c r="FX137" s="85"/>
      <c r="FY137" s="85"/>
      <c r="FZ137" s="85"/>
      <c r="GA137" s="85"/>
      <c r="GB137" s="85"/>
      <c r="GC137" s="85"/>
    </row>
    <row r="138" spans="1:185" x14ac:dyDescent="0.35">
      <c r="A138" s="85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5"/>
      <c r="AM138" s="85"/>
      <c r="AN138" s="85"/>
      <c r="AO138" s="85"/>
      <c r="AP138" s="85"/>
      <c r="AQ138" s="85"/>
      <c r="AR138" s="85"/>
      <c r="AS138" s="85"/>
      <c r="AT138" s="85"/>
      <c r="AU138" s="85"/>
      <c r="AV138" s="85"/>
      <c r="AW138" s="85"/>
      <c r="AX138" s="85"/>
      <c r="AY138" s="85"/>
      <c r="AZ138" s="85"/>
      <c r="BA138" s="85"/>
      <c r="BB138" s="85"/>
      <c r="BC138" s="85"/>
      <c r="BD138" s="85"/>
      <c r="BE138" s="85"/>
      <c r="BF138" s="85"/>
      <c r="BG138" s="85"/>
      <c r="BH138" s="85"/>
      <c r="BI138" s="85"/>
      <c r="BJ138" s="85"/>
      <c r="BK138" s="85"/>
      <c r="BL138" s="85"/>
      <c r="BM138" s="85"/>
      <c r="BN138" s="85"/>
      <c r="BO138" s="85"/>
      <c r="BP138" s="85"/>
      <c r="BQ138" s="85"/>
      <c r="BR138" s="85"/>
      <c r="BS138" s="85"/>
      <c r="BT138" s="85"/>
      <c r="BU138" s="85"/>
      <c r="BV138" s="85"/>
      <c r="BW138" s="85"/>
      <c r="BX138" s="85"/>
      <c r="BY138" s="85"/>
      <c r="BZ138" s="85"/>
      <c r="CA138" s="85"/>
      <c r="CB138" s="85"/>
      <c r="CC138" s="85"/>
      <c r="CD138" s="85"/>
      <c r="CE138" s="85"/>
      <c r="CF138" s="85"/>
      <c r="CG138" s="85"/>
      <c r="CH138" s="85"/>
      <c r="CI138" s="85"/>
      <c r="CJ138" s="85"/>
      <c r="CK138" s="85"/>
      <c r="CL138" s="85"/>
      <c r="CM138" s="85"/>
      <c r="CN138" s="85"/>
      <c r="CO138" s="85"/>
      <c r="CP138" s="85"/>
      <c r="CQ138" s="85"/>
      <c r="CR138" s="85"/>
      <c r="CS138" s="85"/>
      <c r="CT138" s="85"/>
      <c r="CU138" s="85"/>
      <c r="CV138" s="85"/>
      <c r="CW138" s="85"/>
      <c r="CX138" s="85"/>
      <c r="CY138" s="85"/>
      <c r="CZ138" s="85"/>
      <c r="DA138" s="85"/>
      <c r="DB138" s="85"/>
      <c r="DC138" s="85"/>
      <c r="DD138" s="85"/>
      <c r="DE138" s="85"/>
      <c r="DF138" s="85"/>
      <c r="DG138" s="85"/>
      <c r="DH138" s="85"/>
      <c r="DI138" s="85"/>
      <c r="DJ138" s="85"/>
      <c r="DK138" s="85"/>
      <c r="DL138" s="85"/>
      <c r="DM138" s="85"/>
      <c r="DN138" s="85"/>
      <c r="DO138" s="85"/>
      <c r="DP138" s="85"/>
      <c r="DQ138" s="85"/>
      <c r="DR138" s="85"/>
      <c r="DS138" s="85"/>
      <c r="DT138" s="85"/>
      <c r="DU138" s="85"/>
      <c r="DV138" s="85"/>
      <c r="DW138" s="85"/>
      <c r="DX138" s="85"/>
      <c r="DY138" s="85"/>
      <c r="DZ138" s="85"/>
      <c r="EA138" s="85"/>
      <c r="EB138" s="85"/>
      <c r="EC138" s="85"/>
      <c r="ED138" s="85"/>
      <c r="EE138" s="85"/>
      <c r="EF138" s="85"/>
      <c r="EG138" s="85"/>
      <c r="EH138" s="85"/>
      <c r="EI138" s="85"/>
      <c r="EJ138" s="85"/>
      <c r="EK138" s="85"/>
      <c r="EL138" s="85"/>
      <c r="EM138" s="85"/>
      <c r="EN138" s="85"/>
      <c r="EO138" s="85"/>
      <c r="EP138" s="85"/>
      <c r="EQ138" s="85"/>
      <c r="ER138" s="85"/>
      <c r="ES138" s="85"/>
      <c r="ET138" s="85"/>
      <c r="EU138" s="85"/>
      <c r="EV138" s="85"/>
      <c r="EW138" s="85"/>
      <c r="EX138" s="85"/>
      <c r="EY138" s="85"/>
      <c r="EZ138" s="85"/>
      <c r="FA138" s="85"/>
      <c r="FB138" s="85"/>
      <c r="FC138" s="85"/>
      <c r="FD138" s="85"/>
      <c r="FE138" s="85"/>
      <c r="FF138" s="85"/>
      <c r="FG138" s="85"/>
      <c r="FH138" s="85"/>
      <c r="FI138" s="85"/>
      <c r="FJ138" s="85"/>
      <c r="FK138" s="85"/>
      <c r="FL138" s="85"/>
      <c r="FM138" s="85"/>
      <c r="FN138" s="85"/>
      <c r="FO138" s="85"/>
      <c r="FP138" s="85"/>
      <c r="FQ138" s="85"/>
      <c r="FR138" s="85"/>
      <c r="FS138" s="85"/>
      <c r="FT138" s="85"/>
      <c r="FU138" s="85"/>
      <c r="FV138" s="85"/>
      <c r="FW138" s="85"/>
      <c r="FX138" s="85"/>
      <c r="FY138" s="85"/>
      <c r="FZ138" s="85"/>
      <c r="GA138" s="85"/>
      <c r="GB138" s="85"/>
      <c r="GC138" s="85"/>
    </row>
    <row r="139" spans="1:185" x14ac:dyDescent="0.35">
      <c r="A139" s="85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5"/>
      <c r="AM139" s="85"/>
      <c r="AN139" s="85"/>
      <c r="AO139" s="85"/>
      <c r="AP139" s="85"/>
      <c r="AQ139" s="85"/>
      <c r="AR139" s="85"/>
      <c r="AS139" s="85"/>
      <c r="AT139" s="85"/>
      <c r="AU139" s="85"/>
      <c r="AV139" s="85"/>
      <c r="AW139" s="85"/>
      <c r="AX139" s="85"/>
      <c r="AY139" s="85"/>
      <c r="AZ139" s="85"/>
      <c r="BA139" s="85"/>
      <c r="BB139" s="85"/>
      <c r="BC139" s="85"/>
      <c r="BD139" s="85"/>
      <c r="BE139" s="85"/>
      <c r="BF139" s="85"/>
      <c r="BG139" s="85"/>
      <c r="BH139" s="85"/>
      <c r="BI139" s="85"/>
      <c r="BJ139" s="85"/>
      <c r="BK139" s="85"/>
      <c r="BL139" s="85"/>
      <c r="BM139" s="85"/>
      <c r="BN139" s="85"/>
      <c r="BO139" s="85"/>
      <c r="BP139" s="85"/>
      <c r="BQ139" s="85"/>
      <c r="BR139" s="85"/>
      <c r="BS139" s="85"/>
      <c r="BT139" s="85"/>
      <c r="BU139" s="85"/>
      <c r="BV139" s="85"/>
      <c r="BW139" s="85"/>
      <c r="BX139" s="85"/>
      <c r="BY139" s="85"/>
      <c r="BZ139" s="85"/>
      <c r="CA139" s="85"/>
      <c r="CB139" s="85"/>
      <c r="CC139" s="85"/>
      <c r="CD139" s="85"/>
      <c r="CE139" s="85"/>
      <c r="CF139" s="85"/>
      <c r="CG139" s="85"/>
      <c r="CH139" s="85"/>
      <c r="CI139" s="85"/>
      <c r="CJ139" s="85"/>
      <c r="CK139" s="85"/>
      <c r="CL139" s="85"/>
      <c r="CM139" s="85"/>
      <c r="CN139" s="85"/>
      <c r="CO139" s="85"/>
      <c r="CP139" s="85"/>
      <c r="CQ139" s="85"/>
      <c r="CR139" s="85"/>
      <c r="CS139" s="85"/>
      <c r="CT139" s="85"/>
      <c r="CU139" s="85"/>
      <c r="CV139" s="85"/>
      <c r="CW139" s="85"/>
      <c r="CX139" s="85"/>
      <c r="CY139" s="85"/>
      <c r="CZ139" s="85"/>
      <c r="DA139" s="85"/>
      <c r="DB139" s="85"/>
      <c r="DC139" s="85"/>
      <c r="DD139" s="85"/>
      <c r="DE139" s="85"/>
      <c r="DF139" s="85"/>
      <c r="DG139" s="85"/>
      <c r="DH139" s="85"/>
      <c r="DI139" s="85"/>
      <c r="DJ139" s="85"/>
      <c r="DK139" s="85"/>
      <c r="DL139" s="85"/>
      <c r="DM139" s="85"/>
      <c r="DN139" s="85"/>
      <c r="DO139" s="85"/>
      <c r="DP139" s="85"/>
      <c r="DQ139" s="85"/>
      <c r="DR139" s="85"/>
      <c r="DS139" s="85"/>
      <c r="DT139" s="85"/>
      <c r="DU139" s="85"/>
      <c r="DV139" s="85"/>
      <c r="DW139" s="85"/>
      <c r="DX139" s="85"/>
      <c r="DY139" s="85"/>
      <c r="DZ139" s="85"/>
      <c r="EA139" s="85"/>
      <c r="EB139" s="85"/>
      <c r="EC139" s="85"/>
      <c r="ED139" s="85"/>
      <c r="EE139" s="85"/>
      <c r="EF139" s="85"/>
      <c r="EG139" s="85"/>
      <c r="EH139" s="85"/>
      <c r="EI139" s="85"/>
      <c r="EJ139" s="85"/>
      <c r="EK139" s="85"/>
      <c r="EL139" s="85"/>
      <c r="EM139" s="85"/>
      <c r="EN139" s="85"/>
      <c r="EO139" s="85"/>
      <c r="EP139" s="85"/>
      <c r="EQ139" s="85"/>
      <c r="ER139" s="85"/>
      <c r="ES139" s="85"/>
      <c r="ET139" s="85"/>
      <c r="EU139" s="85"/>
      <c r="EV139" s="85"/>
      <c r="EW139" s="85"/>
      <c r="EX139" s="85"/>
      <c r="EY139" s="85"/>
      <c r="EZ139" s="85"/>
      <c r="FA139" s="85"/>
      <c r="FB139" s="85"/>
      <c r="FC139" s="85"/>
      <c r="FD139" s="85"/>
      <c r="FE139" s="85"/>
      <c r="FF139" s="85"/>
      <c r="FG139" s="85"/>
      <c r="FH139" s="85"/>
      <c r="FI139" s="85"/>
      <c r="FJ139" s="85"/>
      <c r="FK139" s="85"/>
      <c r="FL139" s="85"/>
      <c r="FM139" s="85"/>
      <c r="FN139" s="85"/>
      <c r="FO139" s="85"/>
      <c r="FP139" s="85"/>
      <c r="FQ139" s="85"/>
      <c r="FR139" s="85"/>
      <c r="FS139" s="85"/>
      <c r="FT139" s="85"/>
      <c r="FU139" s="85"/>
      <c r="FV139" s="85"/>
      <c r="FW139" s="85"/>
      <c r="FX139" s="85"/>
      <c r="FY139" s="85"/>
      <c r="FZ139" s="85"/>
      <c r="GA139" s="85"/>
      <c r="GB139" s="85"/>
      <c r="GC139" s="85"/>
    </row>
    <row r="140" spans="1:185" x14ac:dyDescent="0.35">
      <c r="A140" s="85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5"/>
      <c r="AM140" s="85"/>
      <c r="AN140" s="85"/>
      <c r="AO140" s="85"/>
      <c r="AP140" s="85"/>
      <c r="AQ140" s="85"/>
      <c r="AR140" s="85"/>
      <c r="AS140" s="85"/>
      <c r="AT140" s="85"/>
      <c r="AU140" s="85"/>
      <c r="AV140" s="85"/>
      <c r="AW140" s="85"/>
      <c r="AX140" s="85"/>
      <c r="AY140" s="85"/>
      <c r="AZ140" s="85"/>
      <c r="BA140" s="85"/>
      <c r="BB140" s="85"/>
      <c r="BC140" s="85"/>
      <c r="BD140" s="85"/>
      <c r="BE140" s="85"/>
      <c r="BF140" s="85"/>
      <c r="BG140" s="85"/>
      <c r="BH140" s="85"/>
      <c r="BI140" s="85"/>
      <c r="BJ140" s="85"/>
      <c r="BK140" s="85"/>
      <c r="BL140" s="85"/>
      <c r="BM140" s="85"/>
      <c r="BN140" s="85"/>
      <c r="BO140" s="85"/>
      <c r="BP140" s="85"/>
      <c r="BQ140" s="85"/>
      <c r="BR140" s="85"/>
      <c r="BS140" s="85"/>
      <c r="BT140" s="85"/>
      <c r="BU140" s="85"/>
      <c r="BV140" s="85"/>
      <c r="BW140" s="85"/>
      <c r="BX140" s="85"/>
      <c r="BY140" s="85"/>
      <c r="BZ140" s="85"/>
      <c r="CA140" s="85"/>
      <c r="CB140" s="85"/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  <c r="CS140" s="85"/>
      <c r="CT140" s="85"/>
      <c r="CU140" s="85"/>
      <c r="CV140" s="85"/>
      <c r="CW140" s="85"/>
      <c r="CX140" s="85"/>
      <c r="CY140" s="85"/>
      <c r="CZ140" s="85"/>
      <c r="DA140" s="85"/>
      <c r="DB140" s="85"/>
      <c r="DC140" s="85"/>
      <c r="DD140" s="85"/>
      <c r="DE140" s="85"/>
      <c r="DF140" s="85"/>
      <c r="DG140" s="85"/>
      <c r="DH140" s="85"/>
      <c r="DI140" s="85"/>
      <c r="DJ140" s="85"/>
      <c r="DK140" s="85"/>
      <c r="DL140" s="85"/>
      <c r="DM140" s="85"/>
      <c r="DN140" s="85"/>
      <c r="DO140" s="85"/>
      <c r="DP140" s="85"/>
      <c r="DQ140" s="85"/>
      <c r="DR140" s="85"/>
      <c r="DS140" s="85"/>
      <c r="DT140" s="85"/>
      <c r="DU140" s="85"/>
      <c r="DV140" s="85"/>
      <c r="DW140" s="85"/>
      <c r="DX140" s="85"/>
      <c r="DY140" s="85"/>
      <c r="DZ140" s="85"/>
      <c r="EA140" s="85"/>
      <c r="EB140" s="85"/>
      <c r="EC140" s="85"/>
      <c r="ED140" s="85"/>
      <c r="EE140" s="85"/>
      <c r="EF140" s="85"/>
      <c r="EG140" s="85"/>
      <c r="EH140" s="85"/>
      <c r="EI140" s="85"/>
      <c r="EJ140" s="85"/>
      <c r="EK140" s="85"/>
      <c r="EL140" s="85"/>
      <c r="EM140" s="85"/>
      <c r="EN140" s="85"/>
      <c r="EO140" s="85"/>
      <c r="EP140" s="85"/>
      <c r="EQ140" s="85"/>
      <c r="ER140" s="85"/>
      <c r="ES140" s="85"/>
      <c r="ET140" s="85"/>
      <c r="EU140" s="85"/>
      <c r="EV140" s="85"/>
      <c r="EW140" s="85"/>
      <c r="EX140" s="85"/>
      <c r="EY140" s="85"/>
      <c r="EZ140" s="85"/>
      <c r="FA140" s="85"/>
      <c r="FB140" s="85"/>
      <c r="FC140" s="85"/>
      <c r="FD140" s="85"/>
      <c r="FE140" s="85"/>
      <c r="FF140" s="85"/>
      <c r="FG140" s="85"/>
      <c r="FH140" s="85"/>
      <c r="FI140" s="85"/>
      <c r="FJ140" s="85"/>
      <c r="FK140" s="85"/>
      <c r="FL140" s="85"/>
      <c r="FM140" s="85"/>
      <c r="FN140" s="85"/>
      <c r="FO140" s="85"/>
      <c r="FP140" s="85"/>
      <c r="FQ140" s="85"/>
      <c r="FR140" s="85"/>
      <c r="FS140" s="85"/>
      <c r="FT140" s="85"/>
      <c r="FU140" s="85"/>
      <c r="FV140" s="85"/>
      <c r="FW140" s="85"/>
      <c r="FX140" s="85"/>
      <c r="FY140" s="85"/>
      <c r="FZ140" s="85"/>
      <c r="GA140" s="85"/>
      <c r="GB140" s="85"/>
      <c r="GC140" s="85"/>
    </row>
    <row r="141" spans="1:185" x14ac:dyDescent="0.35">
      <c r="A141" s="85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5"/>
      <c r="AM141" s="85"/>
      <c r="AN141" s="85"/>
      <c r="AO141" s="85"/>
      <c r="AP141" s="85"/>
      <c r="AQ141" s="85"/>
      <c r="AR141" s="85"/>
      <c r="AS141" s="85"/>
      <c r="AT141" s="85"/>
      <c r="AU141" s="85"/>
      <c r="AV141" s="85"/>
      <c r="AW141" s="85"/>
      <c r="AX141" s="85"/>
      <c r="AY141" s="85"/>
      <c r="AZ141" s="85"/>
      <c r="BA141" s="85"/>
      <c r="BB141" s="85"/>
      <c r="BC141" s="85"/>
      <c r="BD141" s="85"/>
      <c r="BE141" s="85"/>
      <c r="BF141" s="85"/>
      <c r="BG141" s="85"/>
      <c r="BH141" s="85"/>
      <c r="BI141" s="85"/>
      <c r="BJ141" s="85"/>
      <c r="BK141" s="85"/>
      <c r="BL141" s="85"/>
      <c r="BM141" s="85"/>
      <c r="BN141" s="85"/>
      <c r="BO141" s="85"/>
      <c r="BP141" s="85"/>
      <c r="BQ141" s="85"/>
      <c r="BR141" s="85"/>
      <c r="BS141" s="85"/>
      <c r="BT141" s="85"/>
      <c r="BU141" s="85"/>
      <c r="BV141" s="85"/>
      <c r="BW141" s="85"/>
      <c r="BX141" s="85"/>
      <c r="BY141" s="85"/>
      <c r="BZ141" s="85"/>
      <c r="CA141" s="85"/>
      <c r="CB141" s="85"/>
      <c r="CC141" s="85"/>
      <c r="CD141" s="85"/>
      <c r="CE141" s="85"/>
      <c r="CF141" s="85"/>
      <c r="CG141" s="85"/>
      <c r="CH141" s="85"/>
      <c r="CI141" s="85"/>
      <c r="CJ141" s="85"/>
      <c r="CK141" s="85"/>
      <c r="CL141" s="85"/>
      <c r="CM141" s="85"/>
      <c r="CN141" s="85"/>
      <c r="CO141" s="85"/>
      <c r="CP141" s="85"/>
      <c r="CQ141" s="85"/>
      <c r="CR141" s="85"/>
      <c r="CS141" s="85"/>
      <c r="CT141" s="85"/>
      <c r="CU141" s="85"/>
      <c r="CV141" s="85"/>
      <c r="CW141" s="85"/>
      <c r="CX141" s="85"/>
      <c r="CY141" s="85"/>
      <c r="CZ141" s="85"/>
      <c r="DA141" s="85"/>
      <c r="DB141" s="85"/>
      <c r="DC141" s="85"/>
      <c r="DD141" s="85"/>
      <c r="DE141" s="85"/>
      <c r="DF141" s="85"/>
      <c r="DG141" s="85"/>
      <c r="DH141" s="85"/>
      <c r="DI141" s="85"/>
      <c r="DJ141" s="85"/>
      <c r="DK141" s="85"/>
      <c r="DL141" s="85"/>
      <c r="DM141" s="85"/>
      <c r="DN141" s="85"/>
      <c r="DO141" s="85"/>
      <c r="DP141" s="85"/>
      <c r="DQ141" s="85"/>
      <c r="DR141" s="85"/>
      <c r="DS141" s="85"/>
      <c r="DT141" s="85"/>
      <c r="DU141" s="85"/>
      <c r="DV141" s="85"/>
      <c r="DW141" s="85"/>
      <c r="DX141" s="85"/>
      <c r="DY141" s="85"/>
      <c r="DZ141" s="85"/>
      <c r="EA141" s="85"/>
      <c r="EB141" s="85"/>
      <c r="EC141" s="85"/>
      <c r="ED141" s="85"/>
      <c r="EE141" s="85"/>
      <c r="EF141" s="85"/>
      <c r="EG141" s="85"/>
      <c r="EH141" s="85"/>
      <c r="EI141" s="85"/>
      <c r="EJ141" s="85"/>
      <c r="EK141" s="85"/>
      <c r="EL141" s="85"/>
      <c r="EM141" s="85"/>
      <c r="EN141" s="85"/>
      <c r="EO141" s="85"/>
      <c r="EP141" s="85"/>
      <c r="EQ141" s="85"/>
      <c r="ER141" s="85"/>
      <c r="ES141" s="85"/>
      <c r="ET141" s="85"/>
      <c r="EU141" s="85"/>
      <c r="EV141" s="85"/>
      <c r="EW141" s="85"/>
      <c r="EX141" s="85"/>
      <c r="EY141" s="85"/>
      <c r="EZ141" s="85"/>
      <c r="FA141" s="85"/>
      <c r="FB141" s="85"/>
      <c r="FC141" s="85"/>
      <c r="FD141" s="85"/>
      <c r="FE141" s="85"/>
      <c r="FF141" s="85"/>
      <c r="FG141" s="85"/>
      <c r="FH141" s="85"/>
      <c r="FI141" s="85"/>
      <c r="FJ141" s="85"/>
      <c r="FK141" s="85"/>
      <c r="FL141" s="85"/>
      <c r="FM141" s="85"/>
      <c r="FN141" s="85"/>
      <c r="FO141" s="85"/>
      <c r="FP141" s="85"/>
      <c r="FQ141" s="85"/>
      <c r="FR141" s="85"/>
      <c r="FS141" s="85"/>
      <c r="FT141" s="85"/>
      <c r="FU141" s="85"/>
      <c r="FV141" s="85"/>
      <c r="FW141" s="85"/>
      <c r="FX141" s="85"/>
      <c r="FY141" s="85"/>
      <c r="FZ141" s="85"/>
      <c r="GA141" s="85"/>
      <c r="GB141" s="85"/>
      <c r="GC141" s="85"/>
    </row>
    <row r="142" spans="1:185" x14ac:dyDescent="0.35">
      <c r="A142" s="85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  <c r="AX142" s="85"/>
      <c r="AY142" s="85"/>
      <c r="AZ142" s="85"/>
      <c r="BA142" s="85"/>
      <c r="BB142" s="85"/>
      <c r="BC142" s="85"/>
      <c r="BD142" s="85"/>
      <c r="BE142" s="85"/>
      <c r="BF142" s="85"/>
      <c r="BG142" s="85"/>
      <c r="BH142" s="85"/>
      <c r="BI142" s="85"/>
      <c r="BJ142" s="85"/>
      <c r="BK142" s="85"/>
      <c r="BL142" s="85"/>
      <c r="BM142" s="85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  <c r="DF142" s="85"/>
      <c r="DG142" s="85"/>
      <c r="DH142" s="85"/>
      <c r="DI142" s="85"/>
      <c r="DJ142" s="85"/>
      <c r="DK142" s="85"/>
      <c r="DL142" s="85"/>
      <c r="DM142" s="85"/>
      <c r="DN142" s="85"/>
      <c r="DO142" s="85"/>
      <c r="DP142" s="85"/>
      <c r="DQ142" s="85"/>
      <c r="DR142" s="85"/>
      <c r="DS142" s="85"/>
      <c r="DT142" s="85"/>
      <c r="DU142" s="85"/>
      <c r="DV142" s="85"/>
      <c r="DW142" s="85"/>
      <c r="DX142" s="85"/>
      <c r="DY142" s="85"/>
      <c r="DZ142" s="85"/>
      <c r="EA142" s="85"/>
      <c r="EB142" s="85"/>
      <c r="EC142" s="85"/>
      <c r="ED142" s="85"/>
      <c r="EE142" s="85"/>
      <c r="EF142" s="85"/>
      <c r="EG142" s="85"/>
      <c r="EH142" s="85"/>
      <c r="EI142" s="85"/>
      <c r="EJ142" s="85"/>
      <c r="EK142" s="85"/>
      <c r="EL142" s="85"/>
      <c r="EM142" s="85"/>
      <c r="EN142" s="85"/>
      <c r="EO142" s="85"/>
      <c r="EP142" s="85"/>
      <c r="EQ142" s="85"/>
      <c r="ER142" s="85"/>
      <c r="ES142" s="85"/>
      <c r="ET142" s="85"/>
      <c r="EU142" s="85"/>
      <c r="EV142" s="85"/>
      <c r="EW142" s="85"/>
      <c r="EX142" s="85"/>
      <c r="EY142" s="85"/>
      <c r="EZ142" s="85"/>
      <c r="FA142" s="85"/>
      <c r="FB142" s="85"/>
      <c r="FC142" s="85"/>
      <c r="FD142" s="85"/>
      <c r="FE142" s="85"/>
      <c r="FF142" s="85"/>
      <c r="FG142" s="85"/>
      <c r="FH142" s="85"/>
      <c r="FI142" s="85"/>
      <c r="FJ142" s="85"/>
      <c r="FK142" s="85"/>
      <c r="FL142" s="85"/>
      <c r="FM142" s="85"/>
      <c r="FN142" s="85"/>
      <c r="FO142" s="85"/>
      <c r="FP142" s="85"/>
      <c r="FQ142" s="85"/>
      <c r="FR142" s="85"/>
      <c r="FS142" s="85"/>
      <c r="FT142" s="85"/>
      <c r="FU142" s="85"/>
      <c r="FV142" s="85"/>
      <c r="FW142" s="85"/>
      <c r="FX142" s="85"/>
      <c r="FY142" s="85"/>
      <c r="FZ142" s="85"/>
      <c r="GA142" s="85"/>
      <c r="GB142" s="85"/>
      <c r="GC142" s="85"/>
    </row>
    <row r="143" spans="1:185" x14ac:dyDescent="0.35">
      <c r="A143" s="85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85"/>
      <c r="AN143" s="85"/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A143" s="85"/>
      <c r="BB143" s="85"/>
      <c r="BC143" s="85"/>
      <c r="BD143" s="85"/>
      <c r="BE143" s="85"/>
      <c r="BF143" s="85"/>
      <c r="BG143" s="85"/>
      <c r="BH143" s="85"/>
      <c r="BI143" s="85"/>
      <c r="BJ143" s="85"/>
      <c r="BK143" s="85"/>
      <c r="BL143" s="85"/>
      <c r="BM143" s="85"/>
      <c r="BN143" s="85"/>
      <c r="BO143" s="85"/>
      <c r="BP143" s="85"/>
      <c r="BQ143" s="85"/>
      <c r="BR143" s="85"/>
      <c r="BS143" s="85"/>
      <c r="BT143" s="85"/>
      <c r="BU143" s="85"/>
      <c r="BV143" s="85"/>
      <c r="BW143" s="85"/>
      <c r="BX143" s="85"/>
      <c r="BY143" s="85"/>
      <c r="BZ143" s="85"/>
      <c r="CA143" s="85"/>
      <c r="CB143" s="85"/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  <c r="CS143" s="85"/>
      <c r="CT143" s="85"/>
      <c r="CU143" s="85"/>
      <c r="CV143" s="85"/>
      <c r="CW143" s="85"/>
      <c r="CX143" s="85"/>
      <c r="CY143" s="85"/>
      <c r="CZ143" s="85"/>
      <c r="DA143" s="85"/>
      <c r="DB143" s="85"/>
      <c r="DC143" s="85"/>
      <c r="DD143" s="85"/>
      <c r="DE143" s="85"/>
      <c r="DF143" s="85"/>
      <c r="DG143" s="85"/>
      <c r="DH143" s="85"/>
      <c r="DI143" s="85"/>
      <c r="DJ143" s="85"/>
      <c r="DK143" s="85"/>
      <c r="DL143" s="85"/>
      <c r="DM143" s="85"/>
      <c r="DN143" s="85"/>
      <c r="DO143" s="85"/>
      <c r="DP143" s="85"/>
      <c r="DQ143" s="85"/>
      <c r="DR143" s="85"/>
      <c r="DS143" s="85"/>
      <c r="DT143" s="85"/>
      <c r="DU143" s="85"/>
      <c r="DV143" s="85"/>
      <c r="DW143" s="85"/>
      <c r="DX143" s="85"/>
      <c r="DY143" s="85"/>
      <c r="DZ143" s="85"/>
      <c r="EA143" s="85"/>
      <c r="EB143" s="85"/>
      <c r="EC143" s="85"/>
      <c r="ED143" s="85"/>
      <c r="EE143" s="85"/>
      <c r="EF143" s="85"/>
      <c r="EG143" s="85"/>
      <c r="EH143" s="85"/>
      <c r="EI143" s="85"/>
      <c r="EJ143" s="85"/>
      <c r="EK143" s="85"/>
      <c r="EL143" s="85"/>
      <c r="EM143" s="85"/>
      <c r="EN143" s="85"/>
      <c r="EO143" s="85"/>
      <c r="EP143" s="85"/>
      <c r="EQ143" s="85"/>
      <c r="ER143" s="85"/>
      <c r="ES143" s="85"/>
      <c r="ET143" s="85"/>
      <c r="EU143" s="85"/>
      <c r="EV143" s="85"/>
      <c r="EW143" s="85"/>
      <c r="EX143" s="85"/>
      <c r="EY143" s="85"/>
      <c r="EZ143" s="85"/>
      <c r="FA143" s="85"/>
      <c r="FB143" s="85"/>
      <c r="FC143" s="85"/>
      <c r="FD143" s="85"/>
      <c r="FE143" s="85"/>
      <c r="FF143" s="85"/>
      <c r="FG143" s="85"/>
      <c r="FH143" s="85"/>
      <c r="FI143" s="85"/>
      <c r="FJ143" s="85"/>
      <c r="FK143" s="85"/>
      <c r="FL143" s="85"/>
      <c r="FM143" s="85"/>
      <c r="FN143" s="85"/>
      <c r="FO143" s="85"/>
      <c r="FP143" s="85"/>
      <c r="FQ143" s="85"/>
      <c r="FR143" s="85"/>
      <c r="FS143" s="85"/>
      <c r="FT143" s="85"/>
      <c r="FU143" s="85"/>
      <c r="FV143" s="85"/>
      <c r="FW143" s="85"/>
      <c r="FX143" s="85"/>
      <c r="FY143" s="85"/>
      <c r="FZ143" s="85"/>
      <c r="GA143" s="85"/>
      <c r="GB143" s="85"/>
      <c r="GC143" s="85"/>
    </row>
    <row r="144" spans="1:185" x14ac:dyDescent="0.35">
      <c r="A144" s="85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5"/>
      <c r="AM144" s="85"/>
      <c r="AN144" s="85"/>
      <c r="AO144" s="85"/>
      <c r="AP144" s="85"/>
      <c r="AQ144" s="85"/>
      <c r="AR144" s="85"/>
      <c r="AS144" s="85"/>
      <c r="AT144" s="85"/>
      <c r="AU144" s="85"/>
      <c r="AV144" s="85"/>
      <c r="AW144" s="85"/>
      <c r="AX144" s="85"/>
      <c r="AY144" s="85"/>
      <c r="AZ144" s="85"/>
      <c r="BA144" s="85"/>
      <c r="BB144" s="85"/>
      <c r="BC144" s="85"/>
      <c r="BD144" s="85"/>
      <c r="BE144" s="85"/>
      <c r="BF144" s="85"/>
      <c r="BG144" s="85"/>
      <c r="BH144" s="85"/>
      <c r="BI144" s="85"/>
      <c r="BJ144" s="85"/>
      <c r="BK144" s="85"/>
      <c r="BL144" s="85"/>
      <c r="BM144" s="85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  <c r="DF144" s="85"/>
      <c r="DG144" s="85"/>
      <c r="DH144" s="85"/>
      <c r="DI144" s="85"/>
      <c r="DJ144" s="85"/>
      <c r="DK144" s="85"/>
      <c r="DL144" s="85"/>
      <c r="DM144" s="85"/>
      <c r="DN144" s="85"/>
      <c r="DO144" s="85"/>
      <c r="DP144" s="85"/>
      <c r="DQ144" s="85"/>
      <c r="DR144" s="85"/>
      <c r="DS144" s="85"/>
      <c r="DT144" s="85"/>
      <c r="DU144" s="85"/>
      <c r="DV144" s="85"/>
      <c r="DW144" s="85"/>
      <c r="DX144" s="85"/>
      <c r="DY144" s="85"/>
      <c r="DZ144" s="85"/>
      <c r="EA144" s="85"/>
      <c r="EB144" s="85"/>
      <c r="EC144" s="85"/>
      <c r="ED144" s="85"/>
      <c r="EE144" s="85"/>
      <c r="EF144" s="85"/>
      <c r="EG144" s="85"/>
      <c r="EH144" s="85"/>
      <c r="EI144" s="85"/>
      <c r="EJ144" s="85"/>
      <c r="EK144" s="85"/>
      <c r="EL144" s="85"/>
      <c r="EM144" s="85"/>
      <c r="EN144" s="85"/>
      <c r="EO144" s="85"/>
      <c r="EP144" s="85"/>
      <c r="EQ144" s="85"/>
      <c r="ER144" s="85"/>
      <c r="ES144" s="85"/>
      <c r="ET144" s="85"/>
      <c r="EU144" s="85"/>
      <c r="EV144" s="85"/>
      <c r="EW144" s="85"/>
      <c r="EX144" s="85"/>
      <c r="EY144" s="85"/>
      <c r="EZ144" s="85"/>
      <c r="FA144" s="85"/>
      <c r="FB144" s="85"/>
      <c r="FC144" s="85"/>
      <c r="FD144" s="85"/>
      <c r="FE144" s="85"/>
      <c r="FF144" s="85"/>
      <c r="FG144" s="85"/>
      <c r="FH144" s="85"/>
      <c r="FI144" s="85"/>
      <c r="FJ144" s="85"/>
      <c r="FK144" s="85"/>
      <c r="FL144" s="85"/>
      <c r="FM144" s="85"/>
      <c r="FN144" s="85"/>
      <c r="FO144" s="85"/>
      <c r="FP144" s="85"/>
      <c r="FQ144" s="85"/>
      <c r="FR144" s="85"/>
      <c r="FS144" s="85"/>
      <c r="FT144" s="85"/>
      <c r="FU144" s="85"/>
      <c r="FV144" s="85"/>
      <c r="FW144" s="85"/>
      <c r="FX144" s="85"/>
      <c r="FY144" s="85"/>
      <c r="FZ144" s="85"/>
      <c r="GA144" s="85"/>
      <c r="GB144" s="85"/>
      <c r="GC144" s="85"/>
    </row>
    <row r="145" spans="1:185" x14ac:dyDescent="0.35">
      <c r="A145" s="85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  <c r="AX145" s="85"/>
      <c r="AY145" s="85"/>
      <c r="AZ145" s="85"/>
      <c r="BA145" s="85"/>
      <c r="BB145" s="85"/>
      <c r="BC145" s="85"/>
      <c r="BD145" s="85"/>
      <c r="BE145" s="85"/>
      <c r="BF145" s="85"/>
      <c r="BG145" s="85"/>
      <c r="BH145" s="85"/>
      <c r="BI145" s="85"/>
      <c r="BJ145" s="85"/>
      <c r="BK145" s="85"/>
      <c r="BL145" s="85"/>
      <c r="BM145" s="85"/>
      <c r="BN145" s="85"/>
      <c r="BO145" s="85"/>
      <c r="BP145" s="85"/>
      <c r="BQ145" s="85"/>
      <c r="BR145" s="85"/>
      <c r="BS145" s="85"/>
      <c r="BT145" s="85"/>
      <c r="BU145" s="85"/>
      <c r="BV145" s="85"/>
      <c r="BW145" s="85"/>
      <c r="BX145" s="85"/>
      <c r="BY145" s="85"/>
      <c r="BZ145" s="85"/>
      <c r="CA145" s="85"/>
      <c r="CB145" s="85"/>
      <c r="CC145" s="85"/>
      <c r="CD145" s="85"/>
      <c r="CE145" s="85"/>
      <c r="CF145" s="85"/>
      <c r="CG145" s="85"/>
      <c r="CH145" s="85"/>
      <c r="CI145" s="85"/>
      <c r="CJ145" s="85"/>
      <c r="CK145" s="85"/>
      <c r="CL145" s="85"/>
      <c r="CM145" s="85"/>
      <c r="CN145" s="85"/>
      <c r="CO145" s="85"/>
      <c r="CP145" s="85"/>
      <c r="CQ145" s="85"/>
      <c r="CR145" s="85"/>
      <c r="CS145" s="85"/>
      <c r="CT145" s="85"/>
      <c r="CU145" s="85"/>
      <c r="CV145" s="85"/>
      <c r="CW145" s="85"/>
      <c r="CX145" s="85"/>
      <c r="CY145" s="85"/>
      <c r="CZ145" s="85"/>
      <c r="DA145" s="85"/>
      <c r="DB145" s="85"/>
      <c r="DC145" s="85"/>
      <c r="DD145" s="85"/>
      <c r="DE145" s="85"/>
      <c r="DF145" s="85"/>
      <c r="DG145" s="85"/>
      <c r="DH145" s="85"/>
      <c r="DI145" s="85"/>
      <c r="DJ145" s="85"/>
      <c r="DK145" s="85"/>
      <c r="DL145" s="85"/>
      <c r="DM145" s="85"/>
      <c r="DN145" s="85"/>
      <c r="DO145" s="85"/>
      <c r="DP145" s="85"/>
      <c r="DQ145" s="85"/>
      <c r="DR145" s="85"/>
      <c r="DS145" s="85"/>
      <c r="DT145" s="85"/>
      <c r="DU145" s="85"/>
      <c r="DV145" s="85"/>
      <c r="DW145" s="85"/>
      <c r="DX145" s="85"/>
      <c r="DY145" s="85"/>
      <c r="DZ145" s="85"/>
      <c r="EA145" s="85"/>
      <c r="EB145" s="85"/>
      <c r="EC145" s="85"/>
      <c r="ED145" s="85"/>
      <c r="EE145" s="85"/>
      <c r="EF145" s="85"/>
      <c r="EG145" s="85"/>
      <c r="EH145" s="85"/>
      <c r="EI145" s="85"/>
      <c r="EJ145" s="85"/>
      <c r="EK145" s="85"/>
      <c r="EL145" s="85"/>
      <c r="EM145" s="85"/>
      <c r="EN145" s="85"/>
      <c r="EO145" s="85"/>
      <c r="EP145" s="85"/>
      <c r="EQ145" s="85"/>
      <c r="ER145" s="85"/>
      <c r="ES145" s="85"/>
      <c r="ET145" s="85"/>
      <c r="EU145" s="85"/>
      <c r="EV145" s="85"/>
      <c r="EW145" s="85"/>
      <c r="EX145" s="85"/>
      <c r="EY145" s="85"/>
      <c r="EZ145" s="85"/>
      <c r="FA145" s="85"/>
      <c r="FB145" s="85"/>
      <c r="FC145" s="85"/>
      <c r="FD145" s="85"/>
      <c r="FE145" s="85"/>
      <c r="FF145" s="85"/>
      <c r="FG145" s="85"/>
      <c r="FH145" s="85"/>
      <c r="FI145" s="85"/>
      <c r="FJ145" s="85"/>
      <c r="FK145" s="85"/>
      <c r="FL145" s="85"/>
      <c r="FM145" s="85"/>
      <c r="FN145" s="85"/>
      <c r="FO145" s="85"/>
      <c r="FP145" s="85"/>
      <c r="FQ145" s="85"/>
      <c r="FR145" s="85"/>
      <c r="FS145" s="85"/>
      <c r="FT145" s="85"/>
      <c r="FU145" s="85"/>
      <c r="FV145" s="85"/>
      <c r="FW145" s="85"/>
      <c r="FX145" s="85"/>
      <c r="FY145" s="85"/>
      <c r="FZ145" s="85"/>
      <c r="GA145" s="85"/>
      <c r="GB145" s="85"/>
      <c r="GC145" s="85"/>
    </row>
    <row r="146" spans="1:185" x14ac:dyDescent="0.35">
      <c r="A146" s="85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5"/>
      <c r="AM146" s="85"/>
      <c r="AN146" s="85"/>
      <c r="AO146" s="85"/>
      <c r="AP146" s="85"/>
      <c r="AQ146" s="85"/>
      <c r="AR146" s="85"/>
      <c r="AS146" s="85"/>
      <c r="AT146" s="85"/>
      <c r="AU146" s="85"/>
      <c r="AV146" s="85"/>
      <c r="AW146" s="85"/>
      <c r="AX146" s="85"/>
      <c r="AY146" s="85"/>
      <c r="AZ146" s="85"/>
      <c r="BA146" s="85"/>
      <c r="BB146" s="85"/>
      <c r="BC146" s="85"/>
      <c r="BD146" s="85"/>
      <c r="BE146" s="85"/>
      <c r="BF146" s="85"/>
      <c r="BG146" s="85"/>
      <c r="BH146" s="85"/>
      <c r="BI146" s="85"/>
      <c r="BJ146" s="85"/>
      <c r="BK146" s="85"/>
      <c r="BL146" s="85"/>
      <c r="BM146" s="85"/>
      <c r="BN146" s="85"/>
      <c r="BO146" s="85"/>
      <c r="BP146" s="85"/>
      <c r="BQ146" s="85"/>
      <c r="BR146" s="85"/>
      <c r="BS146" s="85"/>
      <c r="BT146" s="85"/>
      <c r="BU146" s="85"/>
      <c r="BV146" s="85"/>
      <c r="BW146" s="85"/>
      <c r="BX146" s="85"/>
      <c r="BY146" s="85"/>
      <c r="BZ146" s="85"/>
      <c r="CA146" s="85"/>
      <c r="CB146" s="85"/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  <c r="CS146" s="85"/>
      <c r="CT146" s="85"/>
      <c r="CU146" s="85"/>
      <c r="CV146" s="85"/>
      <c r="CW146" s="85"/>
      <c r="CX146" s="85"/>
      <c r="CY146" s="85"/>
      <c r="CZ146" s="85"/>
      <c r="DA146" s="85"/>
      <c r="DB146" s="85"/>
      <c r="DC146" s="85"/>
      <c r="DD146" s="85"/>
      <c r="DE146" s="85"/>
      <c r="DF146" s="85"/>
      <c r="DG146" s="85"/>
      <c r="DH146" s="85"/>
      <c r="DI146" s="85"/>
      <c r="DJ146" s="85"/>
      <c r="DK146" s="85"/>
      <c r="DL146" s="85"/>
      <c r="DM146" s="85"/>
      <c r="DN146" s="85"/>
      <c r="DO146" s="85"/>
      <c r="DP146" s="85"/>
      <c r="DQ146" s="85"/>
      <c r="DR146" s="85"/>
      <c r="DS146" s="85"/>
      <c r="DT146" s="85"/>
      <c r="DU146" s="85"/>
      <c r="DV146" s="85"/>
      <c r="DW146" s="85"/>
      <c r="DX146" s="85"/>
      <c r="DY146" s="85"/>
      <c r="DZ146" s="85"/>
      <c r="EA146" s="85"/>
      <c r="EB146" s="85"/>
      <c r="EC146" s="85"/>
      <c r="ED146" s="85"/>
      <c r="EE146" s="85"/>
      <c r="EF146" s="85"/>
      <c r="EG146" s="85"/>
      <c r="EH146" s="85"/>
      <c r="EI146" s="85"/>
      <c r="EJ146" s="85"/>
      <c r="EK146" s="85"/>
      <c r="EL146" s="85"/>
      <c r="EM146" s="85"/>
      <c r="EN146" s="85"/>
      <c r="EO146" s="85"/>
      <c r="EP146" s="85"/>
      <c r="EQ146" s="85"/>
      <c r="ER146" s="85"/>
      <c r="ES146" s="85"/>
      <c r="ET146" s="85"/>
      <c r="EU146" s="85"/>
      <c r="EV146" s="85"/>
      <c r="EW146" s="85"/>
      <c r="EX146" s="85"/>
      <c r="EY146" s="85"/>
      <c r="EZ146" s="85"/>
      <c r="FA146" s="85"/>
      <c r="FB146" s="85"/>
      <c r="FC146" s="85"/>
      <c r="FD146" s="85"/>
      <c r="FE146" s="85"/>
      <c r="FF146" s="85"/>
      <c r="FG146" s="85"/>
      <c r="FH146" s="85"/>
      <c r="FI146" s="85"/>
      <c r="FJ146" s="85"/>
      <c r="FK146" s="85"/>
      <c r="FL146" s="85"/>
      <c r="FM146" s="85"/>
      <c r="FN146" s="85"/>
      <c r="FO146" s="85"/>
      <c r="FP146" s="85"/>
      <c r="FQ146" s="85"/>
      <c r="FR146" s="85"/>
      <c r="FS146" s="85"/>
      <c r="FT146" s="85"/>
      <c r="FU146" s="85"/>
      <c r="FV146" s="85"/>
      <c r="FW146" s="85"/>
      <c r="FX146" s="85"/>
      <c r="FY146" s="85"/>
      <c r="FZ146" s="85"/>
      <c r="GA146" s="85"/>
      <c r="GB146" s="85"/>
      <c r="GC146" s="85"/>
    </row>
    <row r="147" spans="1:185" x14ac:dyDescent="0.35">
      <c r="A147" s="85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5"/>
      <c r="AM147" s="85"/>
      <c r="AN147" s="85"/>
      <c r="AO147" s="85"/>
      <c r="AP147" s="85"/>
      <c r="AQ147" s="85"/>
      <c r="AR147" s="85"/>
      <c r="AS147" s="85"/>
      <c r="AT147" s="85"/>
      <c r="AU147" s="85"/>
      <c r="AV147" s="85"/>
      <c r="AW147" s="85"/>
      <c r="AX147" s="85"/>
      <c r="AY147" s="85"/>
      <c r="AZ147" s="85"/>
      <c r="BA147" s="85"/>
      <c r="BB147" s="85"/>
      <c r="BC147" s="85"/>
      <c r="BD147" s="85"/>
      <c r="BE147" s="85"/>
      <c r="BF147" s="85"/>
      <c r="BG147" s="85"/>
      <c r="BH147" s="85"/>
      <c r="BI147" s="85"/>
      <c r="BJ147" s="85"/>
      <c r="BK147" s="85"/>
      <c r="BL147" s="85"/>
      <c r="BM147" s="85"/>
      <c r="BN147" s="85"/>
      <c r="BO147" s="85"/>
      <c r="BP147" s="85"/>
      <c r="BQ147" s="85"/>
      <c r="BR147" s="85"/>
      <c r="BS147" s="85"/>
      <c r="BT147" s="85"/>
      <c r="BU147" s="85"/>
      <c r="BV147" s="85"/>
      <c r="BW147" s="85"/>
      <c r="BX147" s="85"/>
      <c r="BY147" s="85"/>
      <c r="BZ147" s="85"/>
      <c r="CA147" s="85"/>
      <c r="CB147" s="85"/>
      <c r="CC147" s="85"/>
      <c r="CD147" s="85"/>
      <c r="CE147" s="85"/>
      <c r="CF147" s="85"/>
      <c r="CG147" s="85"/>
      <c r="CH147" s="85"/>
      <c r="CI147" s="85"/>
      <c r="CJ147" s="85"/>
      <c r="CK147" s="85"/>
      <c r="CL147" s="85"/>
      <c r="CM147" s="85"/>
      <c r="CN147" s="85"/>
      <c r="CO147" s="85"/>
      <c r="CP147" s="85"/>
      <c r="CQ147" s="85"/>
      <c r="CR147" s="85"/>
      <c r="CS147" s="85"/>
      <c r="CT147" s="85"/>
      <c r="CU147" s="85"/>
      <c r="CV147" s="85"/>
      <c r="CW147" s="85"/>
      <c r="CX147" s="85"/>
      <c r="CY147" s="85"/>
      <c r="CZ147" s="85"/>
      <c r="DA147" s="85"/>
      <c r="DB147" s="85"/>
      <c r="DC147" s="85"/>
      <c r="DD147" s="85"/>
      <c r="DE147" s="85"/>
      <c r="DF147" s="85"/>
      <c r="DG147" s="85"/>
      <c r="DH147" s="85"/>
      <c r="DI147" s="85"/>
      <c r="DJ147" s="85"/>
      <c r="DK147" s="85"/>
      <c r="DL147" s="85"/>
      <c r="DM147" s="85"/>
      <c r="DN147" s="85"/>
      <c r="DO147" s="85"/>
      <c r="DP147" s="85"/>
      <c r="DQ147" s="85"/>
      <c r="DR147" s="85"/>
      <c r="DS147" s="85"/>
      <c r="DT147" s="85"/>
      <c r="DU147" s="85"/>
      <c r="DV147" s="85"/>
      <c r="DW147" s="85"/>
      <c r="DX147" s="85"/>
      <c r="DY147" s="85"/>
      <c r="DZ147" s="85"/>
      <c r="EA147" s="85"/>
      <c r="EB147" s="85"/>
      <c r="EC147" s="85"/>
      <c r="ED147" s="85"/>
      <c r="EE147" s="85"/>
      <c r="EF147" s="85"/>
      <c r="EG147" s="85"/>
      <c r="EH147" s="85"/>
      <c r="EI147" s="85"/>
      <c r="EJ147" s="85"/>
      <c r="EK147" s="85"/>
      <c r="EL147" s="85"/>
      <c r="EM147" s="85"/>
      <c r="EN147" s="85"/>
      <c r="EO147" s="85"/>
      <c r="EP147" s="85"/>
      <c r="EQ147" s="85"/>
      <c r="ER147" s="85"/>
      <c r="ES147" s="85"/>
      <c r="ET147" s="85"/>
      <c r="EU147" s="85"/>
      <c r="EV147" s="85"/>
      <c r="EW147" s="85"/>
      <c r="EX147" s="85"/>
      <c r="EY147" s="85"/>
      <c r="EZ147" s="85"/>
      <c r="FA147" s="85"/>
      <c r="FB147" s="85"/>
      <c r="FC147" s="85"/>
      <c r="FD147" s="85"/>
      <c r="FE147" s="85"/>
      <c r="FF147" s="85"/>
      <c r="FG147" s="85"/>
      <c r="FH147" s="85"/>
      <c r="FI147" s="85"/>
      <c r="FJ147" s="85"/>
      <c r="FK147" s="85"/>
      <c r="FL147" s="85"/>
      <c r="FM147" s="85"/>
      <c r="FN147" s="85"/>
      <c r="FO147" s="85"/>
      <c r="FP147" s="85"/>
      <c r="FQ147" s="85"/>
      <c r="FR147" s="85"/>
      <c r="FS147" s="85"/>
      <c r="FT147" s="85"/>
      <c r="FU147" s="85"/>
      <c r="FV147" s="85"/>
      <c r="FW147" s="85"/>
      <c r="FX147" s="85"/>
      <c r="FY147" s="85"/>
      <c r="FZ147" s="85"/>
      <c r="GA147" s="85"/>
      <c r="GB147" s="85"/>
      <c r="GC147" s="85"/>
    </row>
    <row r="148" spans="1:185" x14ac:dyDescent="0.35">
      <c r="A148" s="85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5"/>
      <c r="AM148" s="85"/>
      <c r="AN148" s="85"/>
      <c r="AO148" s="85"/>
      <c r="AP148" s="85"/>
      <c r="AQ148" s="85"/>
      <c r="AR148" s="85"/>
      <c r="AS148" s="85"/>
      <c r="AT148" s="85"/>
      <c r="AU148" s="85"/>
      <c r="AV148" s="85"/>
      <c r="AW148" s="85"/>
      <c r="AX148" s="85"/>
      <c r="AY148" s="85"/>
      <c r="AZ148" s="85"/>
      <c r="BA148" s="85"/>
      <c r="BB148" s="85"/>
      <c r="BC148" s="85"/>
      <c r="BD148" s="85"/>
      <c r="BE148" s="85"/>
      <c r="BF148" s="85"/>
      <c r="BG148" s="85"/>
      <c r="BH148" s="85"/>
      <c r="BI148" s="85"/>
      <c r="BJ148" s="85"/>
      <c r="BK148" s="85"/>
      <c r="BL148" s="85"/>
      <c r="BM148" s="85"/>
      <c r="BN148" s="85"/>
      <c r="BO148" s="85"/>
      <c r="BP148" s="85"/>
      <c r="BQ148" s="85"/>
      <c r="BR148" s="85"/>
      <c r="BS148" s="85"/>
      <c r="BT148" s="85"/>
      <c r="BU148" s="85"/>
      <c r="BV148" s="85"/>
      <c r="BW148" s="85"/>
      <c r="BX148" s="85"/>
      <c r="BY148" s="85"/>
      <c r="BZ148" s="85"/>
      <c r="CA148" s="85"/>
      <c r="CB148" s="85"/>
      <c r="CC148" s="85"/>
      <c r="CD148" s="85"/>
      <c r="CE148" s="85"/>
      <c r="CF148" s="85"/>
      <c r="CG148" s="85"/>
      <c r="CH148" s="85"/>
      <c r="CI148" s="85"/>
      <c r="CJ148" s="85"/>
      <c r="CK148" s="85"/>
      <c r="CL148" s="85"/>
      <c r="CM148" s="85"/>
      <c r="CN148" s="85"/>
      <c r="CO148" s="85"/>
      <c r="CP148" s="85"/>
      <c r="CQ148" s="85"/>
      <c r="CR148" s="85"/>
      <c r="CS148" s="85"/>
      <c r="CT148" s="85"/>
      <c r="CU148" s="85"/>
      <c r="CV148" s="85"/>
      <c r="CW148" s="85"/>
      <c r="CX148" s="85"/>
      <c r="CY148" s="85"/>
      <c r="CZ148" s="85"/>
      <c r="DA148" s="85"/>
      <c r="DB148" s="85"/>
      <c r="DC148" s="85"/>
      <c r="DD148" s="85"/>
      <c r="DE148" s="85"/>
      <c r="DF148" s="85"/>
      <c r="DG148" s="85"/>
      <c r="DH148" s="85"/>
      <c r="DI148" s="85"/>
      <c r="DJ148" s="85"/>
      <c r="DK148" s="85"/>
      <c r="DL148" s="85"/>
      <c r="DM148" s="85"/>
      <c r="DN148" s="85"/>
      <c r="DO148" s="85"/>
      <c r="DP148" s="85"/>
      <c r="DQ148" s="85"/>
      <c r="DR148" s="85"/>
      <c r="DS148" s="85"/>
      <c r="DT148" s="85"/>
      <c r="DU148" s="85"/>
      <c r="DV148" s="85"/>
      <c r="DW148" s="85"/>
      <c r="DX148" s="85"/>
      <c r="DY148" s="85"/>
      <c r="DZ148" s="85"/>
      <c r="EA148" s="85"/>
      <c r="EB148" s="85"/>
      <c r="EC148" s="85"/>
      <c r="ED148" s="85"/>
      <c r="EE148" s="85"/>
      <c r="EF148" s="85"/>
      <c r="EG148" s="85"/>
      <c r="EH148" s="85"/>
      <c r="EI148" s="85"/>
      <c r="EJ148" s="85"/>
      <c r="EK148" s="85"/>
      <c r="EL148" s="85"/>
      <c r="EM148" s="85"/>
      <c r="EN148" s="85"/>
      <c r="EO148" s="85"/>
      <c r="EP148" s="85"/>
      <c r="EQ148" s="85"/>
      <c r="ER148" s="85"/>
      <c r="ES148" s="85"/>
      <c r="ET148" s="85"/>
      <c r="EU148" s="85"/>
      <c r="EV148" s="85"/>
      <c r="EW148" s="85"/>
      <c r="EX148" s="85"/>
      <c r="EY148" s="85"/>
      <c r="EZ148" s="85"/>
      <c r="FA148" s="85"/>
      <c r="FB148" s="85"/>
      <c r="FC148" s="85"/>
      <c r="FD148" s="85"/>
      <c r="FE148" s="85"/>
      <c r="FF148" s="85"/>
      <c r="FG148" s="85"/>
      <c r="FH148" s="85"/>
      <c r="FI148" s="85"/>
      <c r="FJ148" s="85"/>
      <c r="FK148" s="85"/>
      <c r="FL148" s="85"/>
      <c r="FM148" s="85"/>
      <c r="FN148" s="85"/>
      <c r="FO148" s="85"/>
      <c r="FP148" s="85"/>
      <c r="FQ148" s="85"/>
      <c r="FR148" s="85"/>
      <c r="FS148" s="85"/>
      <c r="FT148" s="85"/>
      <c r="FU148" s="85"/>
      <c r="FV148" s="85"/>
      <c r="FW148" s="85"/>
      <c r="FX148" s="85"/>
      <c r="FY148" s="85"/>
      <c r="FZ148" s="85"/>
      <c r="GA148" s="85"/>
      <c r="GB148" s="85"/>
      <c r="GC148" s="85"/>
    </row>
    <row r="149" spans="1:185" x14ac:dyDescent="0.35">
      <c r="A149" s="85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5"/>
      <c r="AM149" s="85"/>
      <c r="AN149" s="85"/>
      <c r="AO149" s="85"/>
      <c r="AP149" s="85"/>
      <c r="AQ149" s="85"/>
      <c r="AR149" s="85"/>
      <c r="AS149" s="85"/>
      <c r="AT149" s="85"/>
      <c r="AU149" s="85"/>
      <c r="AV149" s="85"/>
      <c r="AW149" s="85"/>
      <c r="AX149" s="85"/>
      <c r="AY149" s="85"/>
      <c r="AZ149" s="85"/>
      <c r="BA149" s="85"/>
      <c r="BB149" s="85"/>
      <c r="BC149" s="85"/>
      <c r="BD149" s="85"/>
      <c r="BE149" s="85"/>
      <c r="BF149" s="85"/>
      <c r="BG149" s="85"/>
      <c r="BH149" s="85"/>
      <c r="BI149" s="85"/>
      <c r="BJ149" s="85"/>
      <c r="BK149" s="85"/>
      <c r="BL149" s="85"/>
      <c r="BM149" s="85"/>
      <c r="BN149" s="85"/>
      <c r="BO149" s="85"/>
      <c r="BP149" s="85"/>
      <c r="BQ149" s="85"/>
      <c r="BR149" s="85"/>
      <c r="BS149" s="85"/>
      <c r="BT149" s="85"/>
      <c r="BU149" s="85"/>
      <c r="BV149" s="85"/>
      <c r="BW149" s="85"/>
      <c r="BX149" s="85"/>
      <c r="BY149" s="85"/>
      <c r="BZ149" s="85"/>
      <c r="CA149" s="85"/>
      <c r="CB149" s="85"/>
      <c r="CC149" s="85"/>
      <c r="CD149" s="85"/>
      <c r="CE149" s="85"/>
      <c r="CF149" s="85"/>
      <c r="CG149" s="85"/>
      <c r="CH149" s="85"/>
      <c r="CI149" s="85"/>
      <c r="CJ149" s="85"/>
      <c r="CK149" s="85"/>
      <c r="CL149" s="85"/>
      <c r="CM149" s="85"/>
      <c r="CN149" s="85"/>
      <c r="CO149" s="85"/>
      <c r="CP149" s="85"/>
      <c r="CQ149" s="85"/>
      <c r="CR149" s="85"/>
      <c r="CS149" s="85"/>
      <c r="CT149" s="85"/>
      <c r="CU149" s="85"/>
      <c r="CV149" s="85"/>
      <c r="CW149" s="85"/>
      <c r="CX149" s="85"/>
      <c r="CY149" s="85"/>
      <c r="CZ149" s="85"/>
      <c r="DA149" s="85"/>
      <c r="DB149" s="85"/>
      <c r="DC149" s="85"/>
      <c r="DD149" s="85"/>
      <c r="DE149" s="85"/>
      <c r="DF149" s="85"/>
      <c r="DG149" s="85"/>
      <c r="DH149" s="85"/>
      <c r="DI149" s="85"/>
      <c r="DJ149" s="85"/>
      <c r="DK149" s="85"/>
      <c r="DL149" s="85"/>
      <c r="DM149" s="85"/>
      <c r="DN149" s="85"/>
      <c r="DO149" s="85"/>
      <c r="DP149" s="85"/>
      <c r="DQ149" s="85"/>
      <c r="DR149" s="85"/>
      <c r="DS149" s="85"/>
      <c r="DT149" s="85"/>
      <c r="DU149" s="85"/>
      <c r="DV149" s="85"/>
      <c r="DW149" s="85"/>
      <c r="DX149" s="85"/>
      <c r="DY149" s="85"/>
      <c r="DZ149" s="85"/>
      <c r="EA149" s="85"/>
      <c r="EB149" s="85"/>
      <c r="EC149" s="85"/>
      <c r="ED149" s="85"/>
      <c r="EE149" s="85"/>
      <c r="EF149" s="85"/>
      <c r="EG149" s="85"/>
      <c r="EH149" s="85"/>
      <c r="EI149" s="85"/>
      <c r="EJ149" s="85"/>
      <c r="EK149" s="85"/>
      <c r="EL149" s="85"/>
      <c r="EM149" s="85"/>
      <c r="EN149" s="85"/>
      <c r="EO149" s="85"/>
      <c r="EP149" s="85"/>
      <c r="EQ149" s="85"/>
      <c r="ER149" s="85"/>
      <c r="ES149" s="85"/>
      <c r="ET149" s="85"/>
      <c r="EU149" s="85"/>
      <c r="EV149" s="85"/>
      <c r="EW149" s="85"/>
      <c r="EX149" s="85"/>
      <c r="EY149" s="85"/>
      <c r="EZ149" s="85"/>
      <c r="FA149" s="85"/>
      <c r="FB149" s="85"/>
      <c r="FC149" s="85"/>
      <c r="FD149" s="85"/>
      <c r="FE149" s="85"/>
      <c r="FF149" s="85"/>
      <c r="FG149" s="85"/>
      <c r="FH149" s="85"/>
      <c r="FI149" s="85"/>
      <c r="FJ149" s="85"/>
      <c r="FK149" s="85"/>
      <c r="FL149" s="85"/>
      <c r="FM149" s="85"/>
      <c r="FN149" s="85"/>
      <c r="FO149" s="85"/>
      <c r="FP149" s="85"/>
      <c r="FQ149" s="85"/>
      <c r="FR149" s="85"/>
      <c r="FS149" s="85"/>
      <c r="FT149" s="85"/>
      <c r="FU149" s="85"/>
      <c r="FV149" s="85"/>
      <c r="FW149" s="85"/>
      <c r="FX149" s="85"/>
      <c r="FY149" s="85"/>
      <c r="FZ149" s="85"/>
      <c r="GA149" s="85"/>
      <c r="GB149" s="85"/>
      <c r="GC149" s="85"/>
    </row>
    <row r="150" spans="1:185" x14ac:dyDescent="0.35">
      <c r="A150" s="85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5"/>
      <c r="AM150" s="85"/>
      <c r="AN150" s="85"/>
      <c r="AO150" s="85"/>
      <c r="AP150" s="85"/>
      <c r="AQ150" s="85"/>
      <c r="AR150" s="85"/>
      <c r="AS150" s="85"/>
      <c r="AT150" s="85"/>
      <c r="AU150" s="85"/>
      <c r="AV150" s="85"/>
      <c r="AW150" s="85"/>
      <c r="AX150" s="85"/>
      <c r="AY150" s="85"/>
      <c r="AZ150" s="85"/>
      <c r="BA150" s="85"/>
      <c r="BB150" s="85"/>
      <c r="BC150" s="85"/>
      <c r="BD150" s="85"/>
      <c r="BE150" s="85"/>
      <c r="BF150" s="85"/>
      <c r="BG150" s="85"/>
      <c r="BH150" s="85"/>
      <c r="BI150" s="85"/>
      <c r="BJ150" s="85"/>
      <c r="BK150" s="85"/>
      <c r="BL150" s="85"/>
      <c r="BM150" s="85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  <c r="DF150" s="85"/>
      <c r="DG150" s="85"/>
      <c r="DH150" s="85"/>
      <c r="DI150" s="85"/>
      <c r="DJ150" s="85"/>
      <c r="DK150" s="85"/>
      <c r="DL150" s="85"/>
      <c r="DM150" s="85"/>
      <c r="DN150" s="85"/>
      <c r="DO150" s="85"/>
      <c r="DP150" s="85"/>
      <c r="DQ150" s="85"/>
      <c r="DR150" s="85"/>
      <c r="DS150" s="85"/>
      <c r="DT150" s="85"/>
      <c r="DU150" s="85"/>
      <c r="DV150" s="85"/>
      <c r="DW150" s="85"/>
      <c r="DX150" s="85"/>
      <c r="DY150" s="85"/>
      <c r="DZ150" s="85"/>
      <c r="EA150" s="85"/>
      <c r="EB150" s="85"/>
      <c r="EC150" s="85"/>
      <c r="ED150" s="85"/>
      <c r="EE150" s="85"/>
      <c r="EF150" s="85"/>
      <c r="EG150" s="85"/>
      <c r="EH150" s="85"/>
      <c r="EI150" s="85"/>
      <c r="EJ150" s="85"/>
      <c r="EK150" s="85"/>
      <c r="EL150" s="85"/>
      <c r="EM150" s="85"/>
      <c r="EN150" s="85"/>
      <c r="EO150" s="85"/>
      <c r="EP150" s="85"/>
      <c r="EQ150" s="85"/>
      <c r="ER150" s="85"/>
      <c r="ES150" s="85"/>
      <c r="ET150" s="85"/>
      <c r="EU150" s="85"/>
      <c r="EV150" s="85"/>
      <c r="EW150" s="85"/>
      <c r="EX150" s="85"/>
      <c r="EY150" s="85"/>
      <c r="EZ150" s="85"/>
      <c r="FA150" s="85"/>
      <c r="FB150" s="85"/>
      <c r="FC150" s="85"/>
      <c r="FD150" s="85"/>
      <c r="FE150" s="85"/>
      <c r="FF150" s="85"/>
      <c r="FG150" s="85"/>
      <c r="FH150" s="85"/>
      <c r="FI150" s="85"/>
      <c r="FJ150" s="85"/>
      <c r="FK150" s="85"/>
      <c r="FL150" s="85"/>
      <c r="FM150" s="85"/>
      <c r="FN150" s="85"/>
      <c r="FO150" s="85"/>
      <c r="FP150" s="85"/>
      <c r="FQ150" s="85"/>
      <c r="FR150" s="85"/>
      <c r="FS150" s="85"/>
      <c r="FT150" s="85"/>
      <c r="FU150" s="85"/>
      <c r="FV150" s="85"/>
      <c r="FW150" s="85"/>
      <c r="FX150" s="85"/>
      <c r="FY150" s="85"/>
      <c r="FZ150" s="85"/>
      <c r="GA150" s="85"/>
      <c r="GB150" s="85"/>
      <c r="GC150" s="85"/>
    </row>
    <row r="151" spans="1:185" x14ac:dyDescent="0.35">
      <c r="A151" s="85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5"/>
      <c r="AM151" s="85"/>
      <c r="AN151" s="85"/>
      <c r="AO151" s="85"/>
      <c r="AP151" s="85"/>
      <c r="AQ151" s="85"/>
      <c r="AR151" s="85"/>
      <c r="AS151" s="85"/>
      <c r="AT151" s="85"/>
      <c r="AU151" s="85"/>
      <c r="AV151" s="85"/>
      <c r="AW151" s="85"/>
      <c r="AX151" s="85"/>
      <c r="AY151" s="85"/>
      <c r="AZ151" s="85"/>
      <c r="BA151" s="85"/>
      <c r="BB151" s="85"/>
      <c r="BC151" s="85"/>
      <c r="BD151" s="85"/>
      <c r="BE151" s="85"/>
      <c r="BF151" s="85"/>
      <c r="BG151" s="85"/>
      <c r="BH151" s="85"/>
      <c r="BI151" s="85"/>
      <c r="BJ151" s="85"/>
      <c r="BK151" s="85"/>
      <c r="BL151" s="85"/>
      <c r="BM151" s="85"/>
      <c r="BN151" s="85"/>
      <c r="BO151" s="85"/>
      <c r="BP151" s="85"/>
      <c r="BQ151" s="85"/>
      <c r="BR151" s="85"/>
      <c r="BS151" s="85"/>
      <c r="BT151" s="85"/>
      <c r="BU151" s="85"/>
      <c r="BV151" s="85"/>
      <c r="BW151" s="85"/>
      <c r="BX151" s="85"/>
      <c r="BY151" s="85"/>
      <c r="BZ151" s="85"/>
      <c r="CA151" s="85"/>
      <c r="CB151" s="85"/>
      <c r="CC151" s="85"/>
      <c r="CD151" s="85"/>
      <c r="CE151" s="85"/>
      <c r="CF151" s="85"/>
      <c r="CG151" s="85"/>
      <c r="CH151" s="85"/>
      <c r="CI151" s="85"/>
      <c r="CJ151" s="85"/>
      <c r="CK151" s="85"/>
      <c r="CL151" s="85"/>
      <c r="CM151" s="85"/>
      <c r="CN151" s="85"/>
      <c r="CO151" s="85"/>
      <c r="CP151" s="85"/>
      <c r="CQ151" s="85"/>
      <c r="CR151" s="85"/>
      <c r="CS151" s="85"/>
      <c r="CT151" s="85"/>
      <c r="CU151" s="85"/>
      <c r="CV151" s="85"/>
      <c r="CW151" s="85"/>
      <c r="CX151" s="85"/>
      <c r="CY151" s="85"/>
      <c r="CZ151" s="85"/>
      <c r="DA151" s="85"/>
      <c r="DB151" s="85"/>
      <c r="DC151" s="85"/>
      <c r="DD151" s="85"/>
      <c r="DE151" s="85"/>
      <c r="DF151" s="85"/>
      <c r="DG151" s="85"/>
      <c r="DH151" s="85"/>
      <c r="DI151" s="85"/>
      <c r="DJ151" s="85"/>
      <c r="DK151" s="85"/>
      <c r="DL151" s="85"/>
      <c r="DM151" s="85"/>
      <c r="DN151" s="85"/>
      <c r="DO151" s="85"/>
      <c r="DP151" s="85"/>
      <c r="DQ151" s="85"/>
      <c r="DR151" s="85"/>
      <c r="DS151" s="85"/>
      <c r="DT151" s="85"/>
      <c r="DU151" s="85"/>
      <c r="DV151" s="85"/>
      <c r="DW151" s="85"/>
      <c r="DX151" s="85"/>
      <c r="DY151" s="85"/>
      <c r="DZ151" s="85"/>
      <c r="EA151" s="85"/>
      <c r="EB151" s="85"/>
      <c r="EC151" s="85"/>
      <c r="ED151" s="85"/>
      <c r="EE151" s="85"/>
      <c r="EF151" s="85"/>
      <c r="EG151" s="85"/>
      <c r="EH151" s="85"/>
      <c r="EI151" s="85"/>
      <c r="EJ151" s="85"/>
      <c r="EK151" s="85"/>
      <c r="EL151" s="85"/>
      <c r="EM151" s="85"/>
      <c r="EN151" s="85"/>
      <c r="EO151" s="85"/>
      <c r="EP151" s="85"/>
      <c r="EQ151" s="85"/>
      <c r="ER151" s="85"/>
      <c r="ES151" s="85"/>
      <c r="ET151" s="85"/>
      <c r="EU151" s="85"/>
      <c r="EV151" s="85"/>
      <c r="EW151" s="85"/>
      <c r="EX151" s="85"/>
      <c r="EY151" s="85"/>
      <c r="EZ151" s="85"/>
      <c r="FA151" s="85"/>
      <c r="FB151" s="85"/>
      <c r="FC151" s="85"/>
      <c r="FD151" s="85"/>
      <c r="FE151" s="85"/>
      <c r="FF151" s="85"/>
      <c r="FG151" s="85"/>
      <c r="FH151" s="85"/>
      <c r="FI151" s="85"/>
      <c r="FJ151" s="85"/>
      <c r="FK151" s="85"/>
      <c r="FL151" s="85"/>
      <c r="FM151" s="85"/>
      <c r="FN151" s="85"/>
      <c r="FO151" s="85"/>
      <c r="FP151" s="85"/>
      <c r="FQ151" s="85"/>
      <c r="FR151" s="85"/>
      <c r="FS151" s="85"/>
      <c r="FT151" s="85"/>
      <c r="FU151" s="85"/>
      <c r="FV151" s="85"/>
      <c r="FW151" s="85"/>
      <c r="FX151" s="85"/>
      <c r="FY151" s="85"/>
      <c r="FZ151" s="85"/>
      <c r="GA151" s="85"/>
      <c r="GB151" s="85"/>
      <c r="GC151" s="85"/>
    </row>
    <row r="152" spans="1:185" x14ac:dyDescent="0.35">
      <c r="A152" s="85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5"/>
      <c r="AM152" s="85"/>
      <c r="AN152" s="85"/>
      <c r="AO152" s="85"/>
      <c r="AP152" s="85"/>
      <c r="AQ152" s="85"/>
      <c r="AR152" s="85"/>
      <c r="AS152" s="85"/>
      <c r="AT152" s="85"/>
      <c r="AU152" s="85"/>
      <c r="AV152" s="85"/>
      <c r="AW152" s="85"/>
      <c r="AX152" s="85"/>
      <c r="AY152" s="85"/>
      <c r="AZ152" s="85"/>
      <c r="BA152" s="85"/>
      <c r="BB152" s="85"/>
      <c r="BC152" s="85"/>
      <c r="BD152" s="85"/>
      <c r="BE152" s="85"/>
      <c r="BF152" s="85"/>
      <c r="BG152" s="85"/>
      <c r="BH152" s="85"/>
      <c r="BI152" s="85"/>
      <c r="BJ152" s="85"/>
      <c r="BK152" s="85"/>
      <c r="BL152" s="85"/>
      <c r="BM152" s="85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  <c r="DF152" s="85"/>
      <c r="DG152" s="85"/>
      <c r="DH152" s="85"/>
      <c r="DI152" s="85"/>
      <c r="DJ152" s="85"/>
      <c r="DK152" s="85"/>
      <c r="DL152" s="85"/>
      <c r="DM152" s="85"/>
      <c r="DN152" s="85"/>
      <c r="DO152" s="85"/>
      <c r="DP152" s="85"/>
      <c r="DQ152" s="85"/>
      <c r="DR152" s="85"/>
      <c r="DS152" s="85"/>
      <c r="DT152" s="85"/>
      <c r="DU152" s="85"/>
      <c r="DV152" s="85"/>
      <c r="DW152" s="85"/>
      <c r="DX152" s="85"/>
      <c r="DY152" s="85"/>
      <c r="DZ152" s="85"/>
      <c r="EA152" s="85"/>
      <c r="EB152" s="85"/>
      <c r="EC152" s="85"/>
      <c r="ED152" s="85"/>
      <c r="EE152" s="85"/>
      <c r="EF152" s="85"/>
      <c r="EG152" s="85"/>
      <c r="EH152" s="85"/>
      <c r="EI152" s="85"/>
      <c r="EJ152" s="85"/>
      <c r="EK152" s="85"/>
      <c r="EL152" s="85"/>
      <c r="EM152" s="85"/>
      <c r="EN152" s="85"/>
      <c r="EO152" s="85"/>
      <c r="EP152" s="85"/>
      <c r="EQ152" s="85"/>
      <c r="ER152" s="85"/>
      <c r="ES152" s="85"/>
      <c r="ET152" s="85"/>
      <c r="EU152" s="85"/>
      <c r="EV152" s="85"/>
      <c r="EW152" s="85"/>
      <c r="EX152" s="85"/>
      <c r="EY152" s="85"/>
      <c r="EZ152" s="85"/>
      <c r="FA152" s="85"/>
      <c r="FB152" s="85"/>
      <c r="FC152" s="85"/>
      <c r="FD152" s="85"/>
      <c r="FE152" s="85"/>
      <c r="FF152" s="85"/>
      <c r="FG152" s="85"/>
      <c r="FH152" s="85"/>
      <c r="FI152" s="85"/>
      <c r="FJ152" s="85"/>
      <c r="FK152" s="85"/>
      <c r="FL152" s="85"/>
      <c r="FM152" s="85"/>
      <c r="FN152" s="85"/>
      <c r="FO152" s="85"/>
      <c r="FP152" s="85"/>
      <c r="FQ152" s="85"/>
      <c r="FR152" s="85"/>
      <c r="FS152" s="85"/>
      <c r="FT152" s="85"/>
      <c r="FU152" s="85"/>
      <c r="FV152" s="85"/>
      <c r="FW152" s="85"/>
      <c r="FX152" s="85"/>
      <c r="FY152" s="85"/>
      <c r="FZ152" s="85"/>
      <c r="GA152" s="85"/>
      <c r="GB152" s="85"/>
      <c r="GC152" s="85"/>
    </row>
    <row r="153" spans="1:185" x14ac:dyDescent="0.35">
      <c r="A153" s="85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5"/>
      <c r="AM153" s="85"/>
      <c r="AN153" s="85"/>
      <c r="AO153" s="85"/>
      <c r="AP153" s="85"/>
      <c r="AQ153" s="85"/>
      <c r="AR153" s="85"/>
      <c r="AS153" s="85"/>
      <c r="AT153" s="85"/>
      <c r="AU153" s="85"/>
      <c r="AV153" s="85"/>
      <c r="AW153" s="85"/>
      <c r="AX153" s="85"/>
      <c r="AY153" s="85"/>
      <c r="AZ153" s="85"/>
      <c r="BA153" s="85"/>
      <c r="BB153" s="85"/>
      <c r="BC153" s="85"/>
      <c r="BD153" s="85"/>
      <c r="BE153" s="85"/>
      <c r="BF153" s="85"/>
      <c r="BG153" s="85"/>
      <c r="BH153" s="85"/>
      <c r="BI153" s="85"/>
      <c r="BJ153" s="85"/>
      <c r="BK153" s="85"/>
      <c r="BL153" s="85"/>
      <c r="BM153" s="85"/>
      <c r="BN153" s="85"/>
      <c r="BO153" s="85"/>
      <c r="BP153" s="85"/>
      <c r="BQ153" s="85"/>
      <c r="BR153" s="85"/>
      <c r="BS153" s="85"/>
      <c r="BT153" s="85"/>
      <c r="BU153" s="85"/>
      <c r="BV153" s="85"/>
      <c r="BW153" s="85"/>
      <c r="BX153" s="85"/>
      <c r="BY153" s="85"/>
      <c r="BZ153" s="85"/>
      <c r="CA153" s="85"/>
      <c r="CB153" s="85"/>
      <c r="CC153" s="85"/>
      <c r="CD153" s="85"/>
      <c r="CE153" s="85"/>
      <c r="CF153" s="85"/>
      <c r="CG153" s="85"/>
      <c r="CH153" s="85"/>
      <c r="CI153" s="85"/>
      <c r="CJ153" s="85"/>
      <c r="CK153" s="85"/>
      <c r="CL153" s="85"/>
      <c r="CM153" s="85"/>
      <c r="CN153" s="85"/>
      <c r="CO153" s="85"/>
      <c r="CP153" s="85"/>
      <c r="CQ153" s="85"/>
      <c r="CR153" s="85"/>
      <c r="CS153" s="85"/>
      <c r="CT153" s="85"/>
      <c r="CU153" s="85"/>
      <c r="CV153" s="85"/>
      <c r="CW153" s="85"/>
      <c r="CX153" s="85"/>
      <c r="CY153" s="85"/>
      <c r="CZ153" s="85"/>
      <c r="DA153" s="85"/>
      <c r="DB153" s="85"/>
      <c r="DC153" s="85"/>
      <c r="DD153" s="85"/>
      <c r="DE153" s="85"/>
      <c r="DF153" s="85"/>
      <c r="DG153" s="85"/>
      <c r="DH153" s="85"/>
      <c r="DI153" s="85"/>
      <c r="DJ153" s="85"/>
      <c r="DK153" s="85"/>
      <c r="DL153" s="85"/>
      <c r="DM153" s="85"/>
      <c r="DN153" s="85"/>
      <c r="DO153" s="85"/>
      <c r="DP153" s="85"/>
      <c r="DQ153" s="85"/>
      <c r="DR153" s="85"/>
      <c r="DS153" s="85"/>
      <c r="DT153" s="85"/>
      <c r="DU153" s="85"/>
      <c r="DV153" s="85"/>
      <c r="DW153" s="85"/>
      <c r="DX153" s="85"/>
      <c r="DY153" s="85"/>
      <c r="DZ153" s="85"/>
      <c r="EA153" s="85"/>
      <c r="EB153" s="85"/>
      <c r="EC153" s="85"/>
      <c r="ED153" s="85"/>
      <c r="EE153" s="85"/>
      <c r="EF153" s="85"/>
      <c r="EG153" s="85"/>
      <c r="EH153" s="85"/>
      <c r="EI153" s="85"/>
      <c r="EJ153" s="85"/>
      <c r="EK153" s="85"/>
      <c r="EL153" s="85"/>
      <c r="EM153" s="85"/>
      <c r="EN153" s="85"/>
      <c r="EO153" s="85"/>
      <c r="EP153" s="85"/>
      <c r="EQ153" s="85"/>
      <c r="ER153" s="85"/>
      <c r="ES153" s="85"/>
      <c r="ET153" s="85"/>
      <c r="EU153" s="85"/>
      <c r="EV153" s="85"/>
      <c r="EW153" s="85"/>
      <c r="EX153" s="85"/>
      <c r="EY153" s="85"/>
      <c r="EZ153" s="85"/>
      <c r="FA153" s="85"/>
      <c r="FB153" s="85"/>
      <c r="FC153" s="85"/>
      <c r="FD153" s="85"/>
      <c r="FE153" s="85"/>
      <c r="FF153" s="85"/>
      <c r="FG153" s="85"/>
      <c r="FH153" s="85"/>
      <c r="FI153" s="85"/>
      <c r="FJ153" s="85"/>
      <c r="FK153" s="85"/>
      <c r="FL153" s="85"/>
      <c r="FM153" s="85"/>
      <c r="FN153" s="85"/>
      <c r="FO153" s="85"/>
      <c r="FP153" s="85"/>
      <c r="FQ153" s="85"/>
      <c r="FR153" s="85"/>
      <c r="FS153" s="85"/>
      <c r="FT153" s="85"/>
      <c r="FU153" s="85"/>
      <c r="FV153" s="85"/>
      <c r="FW153" s="85"/>
      <c r="FX153" s="85"/>
      <c r="FY153" s="85"/>
      <c r="FZ153" s="85"/>
      <c r="GA153" s="85"/>
      <c r="GB153" s="85"/>
      <c r="GC153" s="85"/>
    </row>
    <row r="154" spans="1:185" x14ac:dyDescent="0.35">
      <c r="A154" s="85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5"/>
      <c r="AM154" s="85"/>
      <c r="AN154" s="85"/>
      <c r="AO154" s="85"/>
      <c r="AP154" s="85"/>
      <c r="AQ154" s="85"/>
      <c r="AR154" s="85"/>
      <c r="AS154" s="85"/>
      <c r="AT154" s="85"/>
      <c r="AU154" s="85"/>
      <c r="AV154" s="85"/>
      <c r="AW154" s="85"/>
      <c r="AX154" s="85"/>
      <c r="AY154" s="85"/>
      <c r="AZ154" s="85"/>
      <c r="BA154" s="85"/>
      <c r="BB154" s="85"/>
      <c r="BC154" s="85"/>
      <c r="BD154" s="85"/>
      <c r="BE154" s="85"/>
      <c r="BF154" s="85"/>
      <c r="BG154" s="85"/>
      <c r="BH154" s="85"/>
      <c r="BI154" s="85"/>
      <c r="BJ154" s="85"/>
      <c r="BK154" s="85"/>
      <c r="BL154" s="85"/>
      <c r="BM154" s="85"/>
      <c r="BN154" s="85"/>
      <c r="BO154" s="85"/>
      <c r="BP154" s="85"/>
      <c r="BQ154" s="85"/>
      <c r="BR154" s="85"/>
      <c r="BS154" s="85"/>
      <c r="BT154" s="85"/>
      <c r="BU154" s="85"/>
      <c r="BV154" s="85"/>
      <c r="BW154" s="85"/>
      <c r="BX154" s="85"/>
      <c r="BY154" s="85"/>
      <c r="BZ154" s="85"/>
      <c r="CA154" s="85"/>
      <c r="CB154" s="85"/>
      <c r="CC154" s="85"/>
      <c r="CD154" s="85"/>
      <c r="CE154" s="85"/>
      <c r="CF154" s="85"/>
      <c r="CG154" s="85"/>
      <c r="CH154" s="85"/>
      <c r="CI154" s="85"/>
      <c r="CJ154" s="85"/>
      <c r="CK154" s="85"/>
      <c r="CL154" s="85"/>
      <c r="CM154" s="85"/>
      <c r="CN154" s="85"/>
      <c r="CO154" s="85"/>
      <c r="CP154" s="85"/>
      <c r="CQ154" s="85"/>
      <c r="CR154" s="85"/>
      <c r="CS154" s="85"/>
      <c r="CT154" s="85"/>
      <c r="CU154" s="85"/>
      <c r="CV154" s="85"/>
      <c r="CW154" s="85"/>
      <c r="CX154" s="85"/>
      <c r="CY154" s="85"/>
      <c r="CZ154" s="85"/>
      <c r="DA154" s="85"/>
      <c r="DB154" s="85"/>
      <c r="DC154" s="85"/>
      <c r="DD154" s="85"/>
      <c r="DE154" s="85"/>
      <c r="DF154" s="85"/>
      <c r="DG154" s="85"/>
      <c r="DH154" s="85"/>
      <c r="DI154" s="85"/>
      <c r="DJ154" s="85"/>
      <c r="DK154" s="85"/>
      <c r="DL154" s="85"/>
      <c r="DM154" s="85"/>
      <c r="DN154" s="85"/>
      <c r="DO154" s="85"/>
      <c r="DP154" s="85"/>
      <c r="DQ154" s="85"/>
      <c r="DR154" s="85"/>
      <c r="DS154" s="85"/>
      <c r="DT154" s="85"/>
      <c r="DU154" s="85"/>
      <c r="DV154" s="85"/>
      <c r="DW154" s="85"/>
      <c r="DX154" s="85"/>
      <c r="DY154" s="85"/>
      <c r="DZ154" s="85"/>
      <c r="EA154" s="85"/>
      <c r="EB154" s="85"/>
      <c r="EC154" s="85"/>
      <c r="ED154" s="85"/>
      <c r="EE154" s="85"/>
      <c r="EF154" s="85"/>
      <c r="EG154" s="85"/>
      <c r="EH154" s="85"/>
      <c r="EI154" s="85"/>
      <c r="EJ154" s="85"/>
      <c r="EK154" s="85"/>
      <c r="EL154" s="85"/>
      <c r="EM154" s="85"/>
      <c r="EN154" s="85"/>
      <c r="EO154" s="85"/>
      <c r="EP154" s="85"/>
      <c r="EQ154" s="85"/>
      <c r="ER154" s="85"/>
      <c r="ES154" s="85"/>
      <c r="ET154" s="85"/>
      <c r="EU154" s="85"/>
      <c r="EV154" s="85"/>
      <c r="EW154" s="85"/>
      <c r="EX154" s="85"/>
      <c r="EY154" s="85"/>
      <c r="EZ154" s="85"/>
      <c r="FA154" s="85"/>
      <c r="FB154" s="85"/>
      <c r="FC154" s="85"/>
      <c r="FD154" s="85"/>
      <c r="FE154" s="85"/>
      <c r="FF154" s="85"/>
      <c r="FG154" s="85"/>
      <c r="FH154" s="85"/>
      <c r="FI154" s="85"/>
      <c r="FJ154" s="85"/>
      <c r="FK154" s="85"/>
      <c r="FL154" s="85"/>
      <c r="FM154" s="85"/>
      <c r="FN154" s="85"/>
      <c r="FO154" s="85"/>
      <c r="FP154" s="85"/>
      <c r="FQ154" s="85"/>
      <c r="FR154" s="85"/>
      <c r="FS154" s="85"/>
      <c r="FT154" s="85"/>
      <c r="FU154" s="85"/>
      <c r="FV154" s="85"/>
      <c r="FW154" s="85"/>
      <c r="FX154" s="85"/>
      <c r="FY154" s="85"/>
      <c r="FZ154" s="85"/>
      <c r="GA154" s="85"/>
      <c r="GB154" s="85"/>
      <c r="GC154" s="85"/>
    </row>
    <row r="155" spans="1:185" x14ac:dyDescent="0.35">
      <c r="A155" s="85"/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5"/>
      <c r="AM155" s="85"/>
      <c r="AN155" s="85"/>
      <c r="AO155" s="85"/>
      <c r="AP155" s="85"/>
      <c r="AQ155" s="85"/>
      <c r="AR155" s="85"/>
      <c r="AS155" s="85"/>
      <c r="AT155" s="85"/>
      <c r="AU155" s="85"/>
      <c r="AV155" s="85"/>
      <c r="AW155" s="85"/>
      <c r="AX155" s="85"/>
      <c r="AY155" s="85"/>
      <c r="AZ155" s="85"/>
      <c r="BA155" s="85"/>
      <c r="BB155" s="85"/>
      <c r="BC155" s="85"/>
      <c r="BD155" s="85"/>
      <c r="BE155" s="85"/>
      <c r="BF155" s="85"/>
      <c r="BG155" s="85"/>
      <c r="BH155" s="85"/>
      <c r="BI155" s="85"/>
      <c r="BJ155" s="85"/>
      <c r="BK155" s="85"/>
      <c r="BL155" s="85"/>
      <c r="BM155" s="85"/>
      <c r="BN155" s="85"/>
      <c r="BO155" s="85"/>
      <c r="BP155" s="85"/>
      <c r="BQ155" s="85"/>
      <c r="BR155" s="85"/>
      <c r="BS155" s="85"/>
      <c r="BT155" s="85"/>
      <c r="BU155" s="85"/>
      <c r="BV155" s="85"/>
      <c r="BW155" s="85"/>
      <c r="BX155" s="85"/>
      <c r="BY155" s="85"/>
      <c r="BZ155" s="85"/>
      <c r="CA155" s="85"/>
      <c r="CB155" s="85"/>
      <c r="CC155" s="85"/>
      <c r="CD155" s="85"/>
      <c r="CE155" s="85"/>
      <c r="CF155" s="85"/>
      <c r="CG155" s="85"/>
      <c r="CH155" s="85"/>
      <c r="CI155" s="85"/>
      <c r="CJ155" s="85"/>
      <c r="CK155" s="85"/>
      <c r="CL155" s="85"/>
      <c r="CM155" s="85"/>
      <c r="CN155" s="85"/>
      <c r="CO155" s="85"/>
      <c r="CP155" s="85"/>
      <c r="CQ155" s="85"/>
      <c r="CR155" s="85"/>
      <c r="CS155" s="85"/>
      <c r="CT155" s="85"/>
      <c r="CU155" s="85"/>
      <c r="CV155" s="85"/>
      <c r="CW155" s="85"/>
      <c r="CX155" s="85"/>
      <c r="CY155" s="85"/>
      <c r="CZ155" s="85"/>
      <c r="DA155" s="85"/>
      <c r="DB155" s="85"/>
      <c r="DC155" s="85"/>
      <c r="DD155" s="85"/>
      <c r="DE155" s="85"/>
      <c r="DF155" s="85"/>
      <c r="DG155" s="85"/>
      <c r="DH155" s="85"/>
      <c r="DI155" s="85"/>
      <c r="DJ155" s="85"/>
      <c r="DK155" s="85"/>
      <c r="DL155" s="85"/>
      <c r="DM155" s="85"/>
      <c r="DN155" s="85"/>
      <c r="DO155" s="85"/>
      <c r="DP155" s="85"/>
      <c r="DQ155" s="85"/>
      <c r="DR155" s="85"/>
      <c r="DS155" s="85"/>
      <c r="DT155" s="85"/>
      <c r="DU155" s="85"/>
      <c r="DV155" s="85"/>
      <c r="DW155" s="85"/>
      <c r="DX155" s="85"/>
      <c r="DY155" s="85"/>
      <c r="DZ155" s="85"/>
      <c r="EA155" s="85"/>
      <c r="EB155" s="85"/>
      <c r="EC155" s="85"/>
      <c r="ED155" s="85"/>
      <c r="EE155" s="85"/>
      <c r="EF155" s="85"/>
      <c r="EG155" s="85"/>
      <c r="EH155" s="85"/>
      <c r="EI155" s="85"/>
      <c r="EJ155" s="85"/>
      <c r="EK155" s="85"/>
      <c r="EL155" s="85"/>
      <c r="EM155" s="85"/>
      <c r="EN155" s="85"/>
      <c r="EO155" s="85"/>
      <c r="EP155" s="85"/>
      <c r="EQ155" s="85"/>
      <c r="ER155" s="85"/>
      <c r="ES155" s="85"/>
      <c r="ET155" s="85"/>
      <c r="EU155" s="85"/>
      <c r="EV155" s="85"/>
      <c r="EW155" s="85"/>
      <c r="EX155" s="85"/>
      <c r="EY155" s="85"/>
      <c r="EZ155" s="85"/>
      <c r="FA155" s="85"/>
      <c r="FB155" s="85"/>
      <c r="FC155" s="85"/>
      <c r="FD155" s="85"/>
      <c r="FE155" s="85"/>
      <c r="FF155" s="85"/>
      <c r="FG155" s="85"/>
      <c r="FH155" s="85"/>
      <c r="FI155" s="85"/>
      <c r="FJ155" s="85"/>
      <c r="FK155" s="85"/>
      <c r="FL155" s="85"/>
      <c r="FM155" s="85"/>
      <c r="FN155" s="85"/>
      <c r="FO155" s="85"/>
      <c r="FP155" s="85"/>
      <c r="FQ155" s="85"/>
      <c r="FR155" s="85"/>
      <c r="FS155" s="85"/>
      <c r="FT155" s="85"/>
      <c r="FU155" s="85"/>
      <c r="FV155" s="85"/>
      <c r="FW155" s="85"/>
      <c r="FX155" s="85"/>
      <c r="FY155" s="85"/>
      <c r="FZ155" s="85"/>
      <c r="GA155" s="85"/>
      <c r="GB155" s="85"/>
      <c r="GC155" s="85"/>
    </row>
    <row r="156" spans="1:185" x14ac:dyDescent="0.35">
      <c r="A156" s="85"/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5"/>
      <c r="AM156" s="85"/>
      <c r="AN156" s="85"/>
      <c r="AO156" s="85"/>
      <c r="AP156" s="85"/>
      <c r="AQ156" s="85"/>
      <c r="AR156" s="85"/>
      <c r="AS156" s="85"/>
      <c r="AT156" s="85"/>
      <c r="AU156" s="85"/>
      <c r="AV156" s="85"/>
      <c r="AW156" s="85"/>
      <c r="AX156" s="85"/>
      <c r="AY156" s="85"/>
      <c r="AZ156" s="85"/>
      <c r="BA156" s="85"/>
      <c r="BB156" s="85"/>
      <c r="BC156" s="85"/>
      <c r="BD156" s="85"/>
      <c r="BE156" s="85"/>
      <c r="BF156" s="85"/>
      <c r="BG156" s="85"/>
      <c r="BH156" s="85"/>
      <c r="BI156" s="85"/>
      <c r="BJ156" s="85"/>
      <c r="BK156" s="85"/>
      <c r="BL156" s="85"/>
      <c r="BM156" s="85"/>
      <c r="BN156" s="85"/>
      <c r="BO156" s="85"/>
      <c r="BP156" s="85"/>
      <c r="BQ156" s="85"/>
      <c r="BR156" s="85"/>
      <c r="BS156" s="85"/>
      <c r="BT156" s="85"/>
      <c r="BU156" s="85"/>
      <c r="BV156" s="85"/>
      <c r="BW156" s="85"/>
      <c r="BX156" s="85"/>
      <c r="BY156" s="85"/>
      <c r="BZ156" s="85"/>
      <c r="CA156" s="85"/>
      <c r="CB156" s="85"/>
      <c r="CC156" s="85"/>
      <c r="CD156" s="85"/>
      <c r="CE156" s="85"/>
      <c r="CF156" s="85"/>
      <c r="CG156" s="85"/>
      <c r="CH156" s="85"/>
      <c r="CI156" s="85"/>
      <c r="CJ156" s="85"/>
      <c r="CK156" s="85"/>
      <c r="CL156" s="85"/>
      <c r="CM156" s="85"/>
      <c r="CN156" s="85"/>
      <c r="CO156" s="85"/>
      <c r="CP156" s="85"/>
      <c r="CQ156" s="85"/>
      <c r="CR156" s="85"/>
      <c r="CS156" s="85"/>
      <c r="CT156" s="85"/>
      <c r="CU156" s="85"/>
      <c r="CV156" s="85"/>
      <c r="CW156" s="85"/>
      <c r="CX156" s="85"/>
      <c r="CY156" s="85"/>
      <c r="CZ156" s="85"/>
      <c r="DA156" s="85"/>
      <c r="DB156" s="85"/>
      <c r="DC156" s="85"/>
      <c r="DD156" s="85"/>
      <c r="DE156" s="85"/>
      <c r="DF156" s="85"/>
      <c r="DG156" s="85"/>
      <c r="DH156" s="85"/>
      <c r="DI156" s="85"/>
      <c r="DJ156" s="85"/>
      <c r="DK156" s="85"/>
      <c r="DL156" s="85"/>
      <c r="DM156" s="85"/>
      <c r="DN156" s="85"/>
      <c r="DO156" s="85"/>
      <c r="DP156" s="85"/>
      <c r="DQ156" s="85"/>
      <c r="DR156" s="85"/>
      <c r="DS156" s="85"/>
      <c r="DT156" s="85"/>
      <c r="DU156" s="85"/>
      <c r="DV156" s="85"/>
      <c r="DW156" s="85"/>
      <c r="DX156" s="85"/>
      <c r="DY156" s="85"/>
      <c r="DZ156" s="85"/>
      <c r="EA156" s="85"/>
      <c r="EB156" s="85"/>
      <c r="EC156" s="85"/>
      <c r="ED156" s="85"/>
      <c r="EE156" s="85"/>
      <c r="EF156" s="85"/>
      <c r="EG156" s="85"/>
      <c r="EH156" s="85"/>
      <c r="EI156" s="85"/>
      <c r="EJ156" s="85"/>
      <c r="EK156" s="85"/>
      <c r="EL156" s="85"/>
      <c r="EM156" s="85"/>
      <c r="EN156" s="85"/>
      <c r="EO156" s="85"/>
      <c r="EP156" s="85"/>
      <c r="EQ156" s="85"/>
      <c r="ER156" s="85"/>
      <c r="ES156" s="85"/>
      <c r="ET156" s="85"/>
      <c r="EU156" s="85"/>
      <c r="EV156" s="85"/>
      <c r="EW156" s="85"/>
      <c r="EX156" s="85"/>
      <c r="EY156" s="85"/>
      <c r="EZ156" s="85"/>
      <c r="FA156" s="85"/>
      <c r="FB156" s="85"/>
      <c r="FC156" s="85"/>
      <c r="FD156" s="85"/>
      <c r="FE156" s="85"/>
      <c r="FF156" s="85"/>
      <c r="FG156" s="85"/>
      <c r="FH156" s="85"/>
      <c r="FI156" s="85"/>
      <c r="FJ156" s="85"/>
      <c r="FK156" s="85"/>
      <c r="FL156" s="85"/>
      <c r="FM156" s="85"/>
      <c r="FN156" s="85"/>
      <c r="FO156" s="85"/>
      <c r="FP156" s="85"/>
      <c r="FQ156" s="85"/>
      <c r="FR156" s="85"/>
      <c r="FS156" s="85"/>
      <c r="FT156" s="85"/>
      <c r="FU156" s="85"/>
      <c r="FV156" s="85"/>
      <c r="FW156" s="85"/>
      <c r="FX156" s="85"/>
      <c r="FY156" s="85"/>
      <c r="FZ156" s="85"/>
      <c r="GA156" s="85"/>
      <c r="GB156" s="85"/>
      <c r="GC156" s="85"/>
    </row>
    <row r="157" spans="1:185" x14ac:dyDescent="0.35">
      <c r="A157" s="85"/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5"/>
      <c r="BH157" s="85"/>
      <c r="BI157" s="85"/>
      <c r="BJ157" s="85"/>
      <c r="BK157" s="85"/>
      <c r="BL157" s="85"/>
      <c r="BM157" s="85"/>
      <c r="BN157" s="85"/>
      <c r="BO157" s="85"/>
      <c r="BP157" s="85"/>
      <c r="BQ157" s="85"/>
      <c r="BR157" s="85"/>
      <c r="BS157" s="85"/>
      <c r="BT157" s="85"/>
      <c r="BU157" s="85"/>
      <c r="BV157" s="85"/>
      <c r="BW157" s="85"/>
      <c r="BX157" s="85"/>
      <c r="BY157" s="85"/>
      <c r="BZ157" s="85"/>
      <c r="CA157" s="85"/>
      <c r="CB157" s="85"/>
      <c r="CC157" s="85"/>
      <c r="CD157" s="85"/>
      <c r="CE157" s="85"/>
      <c r="CF157" s="85"/>
      <c r="CG157" s="85"/>
      <c r="CH157" s="85"/>
      <c r="CI157" s="85"/>
      <c r="CJ157" s="85"/>
      <c r="CK157" s="85"/>
      <c r="CL157" s="85"/>
      <c r="CM157" s="85"/>
      <c r="CN157" s="85"/>
      <c r="CO157" s="85"/>
      <c r="CP157" s="85"/>
      <c r="CQ157" s="85"/>
      <c r="CR157" s="85"/>
      <c r="CS157" s="85"/>
      <c r="CT157" s="85"/>
      <c r="CU157" s="85"/>
      <c r="CV157" s="85"/>
      <c r="CW157" s="85"/>
      <c r="CX157" s="85"/>
      <c r="CY157" s="85"/>
      <c r="CZ157" s="85"/>
      <c r="DA157" s="85"/>
      <c r="DB157" s="85"/>
      <c r="DC157" s="85"/>
      <c r="DD157" s="85"/>
      <c r="DE157" s="85"/>
      <c r="DF157" s="85"/>
      <c r="DG157" s="85"/>
      <c r="DH157" s="85"/>
      <c r="DI157" s="85"/>
      <c r="DJ157" s="85"/>
      <c r="DK157" s="85"/>
      <c r="DL157" s="85"/>
      <c r="DM157" s="85"/>
      <c r="DN157" s="85"/>
      <c r="DO157" s="85"/>
      <c r="DP157" s="85"/>
      <c r="DQ157" s="85"/>
      <c r="DR157" s="85"/>
      <c r="DS157" s="85"/>
      <c r="DT157" s="85"/>
      <c r="DU157" s="85"/>
      <c r="DV157" s="85"/>
      <c r="DW157" s="85"/>
      <c r="DX157" s="85"/>
      <c r="DY157" s="85"/>
      <c r="DZ157" s="85"/>
      <c r="EA157" s="85"/>
      <c r="EB157" s="85"/>
      <c r="EC157" s="85"/>
      <c r="ED157" s="85"/>
      <c r="EE157" s="85"/>
      <c r="EF157" s="85"/>
      <c r="EG157" s="85"/>
      <c r="EH157" s="85"/>
      <c r="EI157" s="85"/>
      <c r="EJ157" s="85"/>
      <c r="EK157" s="85"/>
      <c r="EL157" s="85"/>
      <c r="EM157" s="85"/>
      <c r="EN157" s="85"/>
      <c r="EO157" s="85"/>
      <c r="EP157" s="85"/>
      <c r="EQ157" s="85"/>
      <c r="ER157" s="85"/>
      <c r="ES157" s="85"/>
      <c r="ET157" s="85"/>
      <c r="EU157" s="85"/>
      <c r="EV157" s="85"/>
      <c r="EW157" s="85"/>
      <c r="EX157" s="85"/>
      <c r="EY157" s="85"/>
      <c r="EZ157" s="85"/>
      <c r="FA157" s="85"/>
      <c r="FB157" s="85"/>
      <c r="FC157" s="85"/>
      <c r="FD157" s="85"/>
      <c r="FE157" s="85"/>
      <c r="FF157" s="85"/>
      <c r="FG157" s="85"/>
      <c r="FH157" s="85"/>
      <c r="FI157" s="85"/>
      <c r="FJ157" s="85"/>
      <c r="FK157" s="85"/>
      <c r="FL157" s="85"/>
      <c r="FM157" s="85"/>
      <c r="FN157" s="85"/>
      <c r="FO157" s="85"/>
      <c r="FP157" s="85"/>
      <c r="FQ157" s="85"/>
      <c r="FR157" s="85"/>
      <c r="FS157" s="85"/>
      <c r="FT157" s="85"/>
      <c r="FU157" s="85"/>
      <c r="FV157" s="85"/>
      <c r="FW157" s="85"/>
      <c r="FX157" s="85"/>
      <c r="FY157" s="85"/>
      <c r="FZ157" s="85"/>
      <c r="GA157" s="85"/>
      <c r="GB157" s="85"/>
      <c r="GC157" s="85"/>
    </row>
    <row r="158" spans="1:185" x14ac:dyDescent="0.35">
      <c r="A158" s="85"/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5"/>
      <c r="AM158" s="85"/>
      <c r="AN158" s="85"/>
      <c r="AO158" s="85"/>
      <c r="AP158" s="85"/>
      <c r="AQ158" s="85"/>
      <c r="AR158" s="85"/>
      <c r="AS158" s="85"/>
      <c r="AT158" s="85"/>
      <c r="AU158" s="85"/>
      <c r="AV158" s="85"/>
      <c r="AW158" s="85"/>
      <c r="AX158" s="85"/>
      <c r="AY158" s="85"/>
      <c r="AZ158" s="85"/>
      <c r="BA158" s="85"/>
      <c r="BB158" s="85"/>
      <c r="BC158" s="85"/>
      <c r="BD158" s="85"/>
      <c r="BE158" s="85"/>
      <c r="BF158" s="85"/>
      <c r="BG158" s="85"/>
      <c r="BH158" s="85"/>
      <c r="BI158" s="85"/>
      <c r="BJ158" s="85"/>
      <c r="BK158" s="85"/>
      <c r="BL158" s="85"/>
      <c r="BM158" s="85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  <c r="DF158" s="85"/>
      <c r="DG158" s="85"/>
      <c r="DH158" s="85"/>
      <c r="DI158" s="85"/>
      <c r="DJ158" s="85"/>
      <c r="DK158" s="85"/>
      <c r="DL158" s="85"/>
      <c r="DM158" s="85"/>
      <c r="DN158" s="85"/>
      <c r="DO158" s="85"/>
      <c r="DP158" s="85"/>
      <c r="DQ158" s="85"/>
      <c r="DR158" s="85"/>
      <c r="DS158" s="85"/>
      <c r="DT158" s="85"/>
      <c r="DU158" s="85"/>
      <c r="DV158" s="85"/>
      <c r="DW158" s="85"/>
      <c r="DX158" s="85"/>
      <c r="DY158" s="85"/>
      <c r="DZ158" s="85"/>
      <c r="EA158" s="85"/>
      <c r="EB158" s="85"/>
      <c r="EC158" s="85"/>
      <c r="ED158" s="85"/>
      <c r="EE158" s="85"/>
      <c r="EF158" s="85"/>
      <c r="EG158" s="85"/>
      <c r="EH158" s="85"/>
      <c r="EI158" s="85"/>
      <c r="EJ158" s="85"/>
      <c r="EK158" s="85"/>
      <c r="EL158" s="85"/>
      <c r="EM158" s="85"/>
      <c r="EN158" s="85"/>
      <c r="EO158" s="85"/>
      <c r="EP158" s="85"/>
      <c r="EQ158" s="85"/>
      <c r="ER158" s="85"/>
      <c r="ES158" s="85"/>
      <c r="ET158" s="85"/>
      <c r="EU158" s="85"/>
      <c r="EV158" s="85"/>
      <c r="EW158" s="85"/>
      <c r="EX158" s="85"/>
      <c r="EY158" s="85"/>
      <c r="EZ158" s="85"/>
      <c r="FA158" s="85"/>
      <c r="FB158" s="85"/>
      <c r="FC158" s="85"/>
      <c r="FD158" s="85"/>
      <c r="FE158" s="85"/>
      <c r="FF158" s="85"/>
      <c r="FG158" s="85"/>
      <c r="FH158" s="85"/>
      <c r="FI158" s="85"/>
      <c r="FJ158" s="85"/>
      <c r="FK158" s="85"/>
      <c r="FL158" s="85"/>
      <c r="FM158" s="85"/>
      <c r="FN158" s="85"/>
      <c r="FO158" s="85"/>
      <c r="FP158" s="85"/>
      <c r="FQ158" s="85"/>
      <c r="FR158" s="85"/>
      <c r="FS158" s="85"/>
      <c r="FT158" s="85"/>
      <c r="FU158" s="85"/>
      <c r="FV158" s="85"/>
      <c r="FW158" s="85"/>
      <c r="FX158" s="85"/>
      <c r="FY158" s="85"/>
      <c r="FZ158" s="85"/>
      <c r="GA158" s="85"/>
      <c r="GB158" s="85"/>
      <c r="GC158" s="85"/>
    </row>
    <row r="159" spans="1:185" x14ac:dyDescent="0.35">
      <c r="A159" s="85"/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  <c r="BG159" s="85"/>
      <c r="BH159" s="85"/>
      <c r="BI159" s="85"/>
      <c r="BJ159" s="85"/>
      <c r="BK159" s="85"/>
      <c r="BL159" s="85"/>
      <c r="BM159" s="85"/>
      <c r="BN159" s="85"/>
      <c r="BO159" s="85"/>
      <c r="BP159" s="85"/>
      <c r="BQ159" s="85"/>
      <c r="BR159" s="85"/>
      <c r="BS159" s="85"/>
      <c r="BT159" s="85"/>
      <c r="BU159" s="85"/>
      <c r="BV159" s="85"/>
      <c r="BW159" s="85"/>
      <c r="BX159" s="85"/>
      <c r="BY159" s="85"/>
      <c r="BZ159" s="85"/>
      <c r="CA159" s="85"/>
      <c r="CB159" s="85"/>
      <c r="CC159" s="85"/>
      <c r="CD159" s="85"/>
      <c r="CE159" s="85"/>
      <c r="CF159" s="85"/>
      <c r="CG159" s="85"/>
      <c r="CH159" s="85"/>
      <c r="CI159" s="85"/>
      <c r="CJ159" s="85"/>
      <c r="CK159" s="85"/>
      <c r="CL159" s="85"/>
      <c r="CM159" s="85"/>
      <c r="CN159" s="85"/>
      <c r="CO159" s="85"/>
      <c r="CP159" s="85"/>
      <c r="CQ159" s="85"/>
      <c r="CR159" s="85"/>
      <c r="CS159" s="85"/>
      <c r="CT159" s="85"/>
      <c r="CU159" s="85"/>
      <c r="CV159" s="85"/>
      <c r="CW159" s="85"/>
      <c r="CX159" s="85"/>
      <c r="CY159" s="85"/>
      <c r="CZ159" s="85"/>
      <c r="DA159" s="85"/>
      <c r="DB159" s="85"/>
      <c r="DC159" s="85"/>
      <c r="DD159" s="85"/>
      <c r="DE159" s="85"/>
      <c r="DF159" s="85"/>
      <c r="DG159" s="85"/>
      <c r="DH159" s="85"/>
      <c r="DI159" s="85"/>
      <c r="DJ159" s="85"/>
      <c r="DK159" s="85"/>
      <c r="DL159" s="85"/>
      <c r="DM159" s="85"/>
      <c r="DN159" s="85"/>
      <c r="DO159" s="85"/>
      <c r="DP159" s="85"/>
      <c r="DQ159" s="85"/>
      <c r="DR159" s="85"/>
      <c r="DS159" s="85"/>
      <c r="DT159" s="85"/>
      <c r="DU159" s="85"/>
      <c r="DV159" s="85"/>
      <c r="DW159" s="85"/>
      <c r="DX159" s="85"/>
      <c r="DY159" s="85"/>
      <c r="DZ159" s="85"/>
      <c r="EA159" s="85"/>
      <c r="EB159" s="85"/>
      <c r="EC159" s="85"/>
      <c r="ED159" s="85"/>
      <c r="EE159" s="85"/>
      <c r="EF159" s="85"/>
      <c r="EG159" s="85"/>
      <c r="EH159" s="85"/>
      <c r="EI159" s="85"/>
      <c r="EJ159" s="85"/>
      <c r="EK159" s="85"/>
      <c r="EL159" s="85"/>
      <c r="EM159" s="85"/>
      <c r="EN159" s="85"/>
      <c r="EO159" s="85"/>
      <c r="EP159" s="85"/>
      <c r="EQ159" s="85"/>
      <c r="ER159" s="85"/>
      <c r="ES159" s="85"/>
      <c r="ET159" s="85"/>
      <c r="EU159" s="85"/>
      <c r="EV159" s="85"/>
      <c r="EW159" s="85"/>
      <c r="EX159" s="85"/>
      <c r="EY159" s="85"/>
      <c r="EZ159" s="85"/>
      <c r="FA159" s="85"/>
      <c r="FB159" s="85"/>
      <c r="FC159" s="85"/>
      <c r="FD159" s="85"/>
      <c r="FE159" s="85"/>
      <c r="FF159" s="85"/>
      <c r="FG159" s="85"/>
      <c r="FH159" s="85"/>
      <c r="FI159" s="85"/>
      <c r="FJ159" s="85"/>
      <c r="FK159" s="85"/>
      <c r="FL159" s="85"/>
      <c r="FM159" s="85"/>
      <c r="FN159" s="85"/>
      <c r="FO159" s="85"/>
      <c r="FP159" s="85"/>
      <c r="FQ159" s="85"/>
      <c r="FR159" s="85"/>
      <c r="FS159" s="85"/>
      <c r="FT159" s="85"/>
      <c r="FU159" s="85"/>
      <c r="FV159" s="85"/>
      <c r="FW159" s="85"/>
      <c r="FX159" s="85"/>
      <c r="FY159" s="85"/>
      <c r="FZ159" s="85"/>
      <c r="GA159" s="85"/>
      <c r="GB159" s="85"/>
      <c r="GC159" s="85"/>
    </row>
    <row r="160" spans="1:185" x14ac:dyDescent="0.35">
      <c r="A160" s="85"/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5"/>
      <c r="AM160" s="85"/>
      <c r="AN160" s="85"/>
      <c r="AO160" s="85"/>
      <c r="AP160" s="85"/>
      <c r="AQ160" s="85"/>
      <c r="AR160" s="85"/>
      <c r="AS160" s="85"/>
      <c r="AT160" s="85"/>
      <c r="AU160" s="85"/>
      <c r="AV160" s="85"/>
      <c r="AW160" s="85"/>
      <c r="AX160" s="85"/>
      <c r="AY160" s="85"/>
      <c r="AZ160" s="85"/>
      <c r="BA160" s="85"/>
      <c r="BB160" s="85"/>
      <c r="BC160" s="85"/>
      <c r="BD160" s="85"/>
      <c r="BE160" s="85"/>
      <c r="BF160" s="85"/>
      <c r="BG160" s="85"/>
      <c r="BH160" s="85"/>
      <c r="BI160" s="85"/>
      <c r="BJ160" s="85"/>
      <c r="BK160" s="85"/>
      <c r="BL160" s="85"/>
      <c r="BM160" s="85"/>
      <c r="BN160" s="85"/>
      <c r="BO160" s="85"/>
      <c r="BP160" s="85"/>
      <c r="BQ160" s="85"/>
      <c r="BR160" s="85"/>
      <c r="BS160" s="85"/>
      <c r="BT160" s="85"/>
      <c r="BU160" s="85"/>
      <c r="BV160" s="85"/>
      <c r="BW160" s="85"/>
      <c r="BX160" s="85"/>
      <c r="BY160" s="85"/>
      <c r="BZ160" s="85"/>
      <c r="CA160" s="85"/>
      <c r="CB160" s="85"/>
      <c r="CC160" s="85"/>
      <c r="CD160" s="85"/>
      <c r="CE160" s="85"/>
      <c r="CF160" s="85"/>
      <c r="CG160" s="85"/>
      <c r="CH160" s="85"/>
      <c r="CI160" s="85"/>
      <c r="CJ160" s="85"/>
      <c r="CK160" s="85"/>
      <c r="CL160" s="85"/>
      <c r="CM160" s="85"/>
      <c r="CN160" s="85"/>
      <c r="CO160" s="85"/>
      <c r="CP160" s="85"/>
      <c r="CQ160" s="85"/>
      <c r="CR160" s="85"/>
      <c r="CS160" s="85"/>
      <c r="CT160" s="85"/>
      <c r="CU160" s="85"/>
      <c r="CV160" s="85"/>
      <c r="CW160" s="85"/>
      <c r="CX160" s="85"/>
      <c r="CY160" s="85"/>
      <c r="CZ160" s="85"/>
      <c r="DA160" s="85"/>
      <c r="DB160" s="85"/>
      <c r="DC160" s="85"/>
      <c r="DD160" s="85"/>
      <c r="DE160" s="85"/>
      <c r="DF160" s="85"/>
      <c r="DG160" s="85"/>
      <c r="DH160" s="85"/>
      <c r="DI160" s="85"/>
      <c r="DJ160" s="85"/>
      <c r="DK160" s="85"/>
      <c r="DL160" s="85"/>
      <c r="DM160" s="85"/>
      <c r="DN160" s="85"/>
      <c r="DO160" s="85"/>
      <c r="DP160" s="85"/>
      <c r="DQ160" s="85"/>
      <c r="DR160" s="85"/>
      <c r="DS160" s="85"/>
      <c r="DT160" s="85"/>
      <c r="DU160" s="85"/>
      <c r="DV160" s="85"/>
      <c r="DW160" s="85"/>
      <c r="DX160" s="85"/>
      <c r="DY160" s="85"/>
      <c r="DZ160" s="85"/>
      <c r="EA160" s="85"/>
      <c r="EB160" s="85"/>
      <c r="EC160" s="85"/>
      <c r="ED160" s="85"/>
      <c r="EE160" s="85"/>
      <c r="EF160" s="85"/>
      <c r="EG160" s="85"/>
      <c r="EH160" s="85"/>
      <c r="EI160" s="85"/>
      <c r="EJ160" s="85"/>
      <c r="EK160" s="85"/>
      <c r="EL160" s="85"/>
      <c r="EM160" s="85"/>
      <c r="EN160" s="85"/>
      <c r="EO160" s="85"/>
      <c r="EP160" s="85"/>
      <c r="EQ160" s="85"/>
      <c r="ER160" s="85"/>
      <c r="ES160" s="85"/>
      <c r="ET160" s="85"/>
      <c r="EU160" s="85"/>
      <c r="EV160" s="85"/>
      <c r="EW160" s="85"/>
      <c r="EX160" s="85"/>
      <c r="EY160" s="85"/>
      <c r="EZ160" s="85"/>
      <c r="FA160" s="85"/>
      <c r="FB160" s="85"/>
      <c r="FC160" s="85"/>
      <c r="FD160" s="85"/>
      <c r="FE160" s="85"/>
      <c r="FF160" s="85"/>
      <c r="FG160" s="85"/>
      <c r="FH160" s="85"/>
      <c r="FI160" s="85"/>
      <c r="FJ160" s="85"/>
      <c r="FK160" s="85"/>
      <c r="FL160" s="85"/>
      <c r="FM160" s="85"/>
      <c r="FN160" s="85"/>
      <c r="FO160" s="85"/>
      <c r="FP160" s="85"/>
      <c r="FQ160" s="85"/>
      <c r="FR160" s="85"/>
      <c r="FS160" s="85"/>
      <c r="FT160" s="85"/>
      <c r="FU160" s="85"/>
      <c r="FV160" s="85"/>
      <c r="FW160" s="85"/>
      <c r="FX160" s="85"/>
      <c r="FY160" s="85"/>
      <c r="FZ160" s="85"/>
      <c r="GA160" s="85"/>
      <c r="GB160" s="85"/>
      <c r="GC160" s="85"/>
    </row>
    <row r="161" spans="1:185" x14ac:dyDescent="0.35">
      <c r="A161" s="85"/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5"/>
      <c r="AM161" s="85"/>
      <c r="AN161" s="85"/>
      <c r="AO161" s="85"/>
      <c r="AP161" s="85"/>
      <c r="AQ161" s="85"/>
      <c r="AR161" s="85"/>
      <c r="AS161" s="85"/>
      <c r="AT161" s="85"/>
      <c r="AU161" s="85"/>
      <c r="AV161" s="85"/>
      <c r="AW161" s="85"/>
      <c r="AX161" s="85"/>
      <c r="AY161" s="85"/>
      <c r="AZ161" s="85"/>
      <c r="BA161" s="85"/>
      <c r="BB161" s="85"/>
      <c r="BC161" s="85"/>
      <c r="BD161" s="85"/>
      <c r="BE161" s="85"/>
      <c r="BF161" s="85"/>
      <c r="BG161" s="85"/>
      <c r="BH161" s="85"/>
      <c r="BI161" s="85"/>
      <c r="BJ161" s="85"/>
      <c r="BK161" s="85"/>
      <c r="BL161" s="85"/>
      <c r="BM161" s="85"/>
      <c r="BN161" s="85"/>
      <c r="BO161" s="85"/>
      <c r="BP161" s="85"/>
      <c r="BQ161" s="85"/>
      <c r="BR161" s="85"/>
      <c r="BS161" s="85"/>
      <c r="BT161" s="85"/>
      <c r="BU161" s="85"/>
      <c r="BV161" s="85"/>
      <c r="BW161" s="85"/>
      <c r="BX161" s="85"/>
      <c r="BY161" s="85"/>
      <c r="BZ161" s="85"/>
      <c r="CA161" s="85"/>
      <c r="CB161" s="85"/>
      <c r="CC161" s="85"/>
      <c r="CD161" s="85"/>
      <c r="CE161" s="85"/>
      <c r="CF161" s="85"/>
      <c r="CG161" s="85"/>
      <c r="CH161" s="85"/>
      <c r="CI161" s="85"/>
      <c r="CJ161" s="85"/>
      <c r="CK161" s="85"/>
      <c r="CL161" s="85"/>
      <c r="CM161" s="85"/>
      <c r="CN161" s="85"/>
      <c r="CO161" s="85"/>
      <c r="CP161" s="85"/>
      <c r="CQ161" s="85"/>
      <c r="CR161" s="85"/>
      <c r="CS161" s="85"/>
      <c r="CT161" s="85"/>
      <c r="CU161" s="85"/>
      <c r="CV161" s="85"/>
      <c r="CW161" s="85"/>
      <c r="CX161" s="85"/>
      <c r="CY161" s="85"/>
      <c r="CZ161" s="85"/>
      <c r="DA161" s="85"/>
      <c r="DB161" s="85"/>
      <c r="DC161" s="85"/>
      <c r="DD161" s="85"/>
      <c r="DE161" s="85"/>
      <c r="DF161" s="85"/>
      <c r="DG161" s="85"/>
      <c r="DH161" s="85"/>
      <c r="DI161" s="85"/>
      <c r="DJ161" s="85"/>
      <c r="DK161" s="85"/>
      <c r="DL161" s="85"/>
      <c r="DM161" s="85"/>
      <c r="DN161" s="85"/>
      <c r="DO161" s="85"/>
      <c r="DP161" s="85"/>
      <c r="DQ161" s="85"/>
      <c r="DR161" s="85"/>
      <c r="DS161" s="85"/>
      <c r="DT161" s="85"/>
      <c r="DU161" s="85"/>
      <c r="DV161" s="85"/>
      <c r="DW161" s="85"/>
      <c r="DX161" s="85"/>
      <c r="DY161" s="85"/>
      <c r="DZ161" s="85"/>
      <c r="EA161" s="85"/>
      <c r="EB161" s="85"/>
      <c r="EC161" s="85"/>
      <c r="ED161" s="85"/>
      <c r="EE161" s="85"/>
      <c r="EF161" s="85"/>
      <c r="EG161" s="85"/>
      <c r="EH161" s="85"/>
      <c r="EI161" s="85"/>
      <c r="EJ161" s="85"/>
      <c r="EK161" s="85"/>
      <c r="EL161" s="85"/>
      <c r="EM161" s="85"/>
      <c r="EN161" s="85"/>
      <c r="EO161" s="85"/>
      <c r="EP161" s="85"/>
      <c r="EQ161" s="85"/>
      <c r="ER161" s="85"/>
      <c r="ES161" s="85"/>
      <c r="ET161" s="85"/>
      <c r="EU161" s="85"/>
      <c r="EV161" s="85"/>
      <c r="EW161" s="85"/>
      <c r="EX161" s="85"/>
      <c r="EY161" s="85"/>
      <c r="EZ161" s="85"/>
      <c r="FA161" s="85"/>
      <c r="FB161" s="85"/>
      <c r="FC161" s="85"/>
      <c r="FD161" s="85"/>
      <c r="FE161" s="85"/>
      <c r="FF161" s="85"/>
      <c r="FG161" s="85"/>
      <c r="FH161" s="85"/>
      <c r="FI161" s="85"/>
      <c r="FJ161" s="85"/>
      <c r="FK161" s="85"/>
      <c r="FL161" s="85"/>
      <c r="FM161" s="85"/>
      <c r="FN161" s="85"/>
      <c r="FO161" s="85"/>
      <c r="FP161" s="85"/>
      <c r="FQ161" s="85"/>
      <c r="FR161" s="85"/>
      <c r="FS161" s="85"/>
      <c r="FT161" s="85"/>
      <c r="FU161" s="85"/>
      <c r="FV161" s="85"/>
      <c r="FW161" s="85"/>
      <c r="FX161" s="85"/>
      <c r="FY161" s="85"/>
      <c r="FZ161" s="85"/>
      <c r="GA161" s="85"/>
      <c r="GB161" s="85"/>
      <c r="GC161" s="85"/>
    </row>
    <row r="162" spans="1:185" x14ac:dyDescent="0.35">
      <c r="A162" s="85"/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  <c r="BG162" s="85"/>
      <c r="BH162" s="85"/>
      <c r="BI162" s="85"/>
      <c r="BJ162" s="85"/>
      <c r="BK162" s="85"/>
      <c r="BL162" s="85"/>
      <c r="BM162" s="85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  <c r="DF162" s="85"/>
      <c r="DG162" s="85"/>
      <c r="DH162" s="85"/>
      <c r="DI162" s="85"/>
      <c r="DJ162" s="85"/>
      <c r="DK162" s="85"/>
      <c r="DL162" s="85"/>
      <c r="DM162" s="85"/>
      <c r="DN162" s="85"/>
      <c r="DO162" s="85"/>
      <c r="DP162" s="85"/>
      <c r="DQ162" s="85"/>
      <c r="DR162" s="85"/>
      <c r="DS162" s="85"/>
      <c r="DT162" s="85"/>
      <c r="DU162" s="85"/>
      <c r="DV162" s="85"/>
      <c r="DW162" s="85"/>
      <c r="DX162" s="85"/>
      <c r="DY162" s="85"/>
      <c r="DZ162" s="85"/>
      <c r="EA162" s="85"/>
      <c r="EB162" s="85"/>
      <c r="EC162" s="85"/>
      <c r="ED162" s="85"/>
      <c r="EE162" s="85"/>
      <c r="EF162" s="85"/>
      <c r="EG162" s="85"/>
      <c r="EH162" s="85"/>
      <c r="EI162" s="85"/>
      <c r="EJ162" s="85"/>
      <c r="EK162" s="85"/>
      <c r="EL162" s="85"/>
      <c r="EM162" s="85"/>
      <c r="EN162" s="85"/>
      <c r="EO162" s="85"/>
      <c r="EP162" s="85"/>
      <c r="EQ162" s="85"/>
      <c r="ER162" s="85"/>
      <c r="ES162" s="85"/>
      <c r="ET162" s="85"/>
      <c r="EU162" s="85"/>
      <c r="EV162" s="85"/>
      <c r="EW162" s="85"/>
      <c r="EX162" s="85"/>
      <c r="EY162" s="85"/>
      <c r="EZ162" s="85"/>
      <c r="FA162" s="85"/>
      <c r="FB162" s="85"/>
      <c r="FC162" s="85"/>
      <c r="FD162" s="85"/>
      <c r="FE162" s="85"/>
      <c r="FF162" s="85"/>
      <c r="FG162" s="85"/>
      <c r="FH162" s="85"/>
      <c r="FI162" s="85"/>
      <c r="FJ162" s="85"/>
      <c r="FK162" s="85"/>
      <c r="FL162" s="85"/>
      <c r="FM162" s="85"/>
      <c r="FN162" s="85"/>
      <c r="FO162" s="85"/>
      <c r="FP162" s="85"/>
      <c r="FQ162" s="85"/>
      <c r="FR162" s="85"/>
      <c r="FS162" s="85"/>
      <c r="FT162" s="85"/>
      <c r="FU162" s="85"/>
      <c r="FV162" s="85"/>
      <c r="FW162" s="85"/>
      <c r="FX162" s="85"/>
      <c r="FY162" s="85"/>
      <c r="FZ162" s="85"/>
      <c r="GA162" s="85"/>
      <c r="GB162" s="85"/>
      <c r="GC162" s="85"/>
    </row>
    <row r="163" spans="1:185" x14ac:dyDescent="0.35">
      <c r="A163" s="85"/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5"/>
      <c r="AZ163" s="85"/>
      <c r="BA163" s="85"/>
      <c r="BB163" s="85"/>
      <c r="BC163" s="85"/>
      <c r="BD163" s="85"/>
      <c r="BE163" s="85"/>
      <c r="BF163" s="85"/>
      <c r="BG163" s="85"/>
      <c r="BH163" s="85"/>
      <c r="BI163" s="85"/>
      <c r="BJ163" s="85"/>
      <c r="BK163" s="85"/>
      <c r="BL163" s="85"/>
      <c r="BM163" s="85"/>
      <c r="BN163" s="85"/>
      <c r="BO163" s="85"/>
      <c r="BP163" s="85"/>
      <c r="BQ163" s="85"/>
      <c r="BR163" s="85"/>
      <c r="BS163" s="85"/>
      <c r="BT163" s="85"/>
      <c r="BU163" s="85"/>
      <c r="BV163" s="85"/>
      <c r="BW163" s="85"/>
      <c r="BX163" s="85"/>
      <c r="BY163" s="85"/>
      <c r="BZ163" s="85"/>
      <c r="CA163" s="85"/>
      <c r="CB163" s="85"/>
      <c r="CC163" s="85"/>
      <c r="CD163" s="85"/>
      <c r="CE163" s="85"/>
      <c r="CF163" s="85"/>
      <c r="CG163" s="85"/>
      <c r="CH163" s="85"/>
      <c r="CI163" s="85"/>
      <c r="CJ163" s="85"/>
      <c r="CK163" s="85"/>
      <c r="CL163" s="85"/>
      <c r="CM163" s="85"/>
      <c r="CN163" s="85"/>
      <c r="CO163" s="85"/>
      <c r="CP163" s="85"/>
      <c r="CQ163" s="85"/>
      <c r="CR163" s="85"/>
      <c r="CS163" s="85"/>
      <c r="CT163" s="85"/>
      <c r="CU163" s="85"/>
      <c r="CV163" s="85"/>
      <c r="CW163" s="85"/>
      <c r="CX163" s="85"/>
      <c r="CY163" s="85"/>
      <c r="CZ163" s="85"/>
      <c r="DA163" s="85"/>
      <c r="DB163" s="85"/>
      <c r="DC163" s="85"/>
      <c r="DD163" s="85"/>
      <c r="DE163" s="85"/>
      <c r="DF163" s="85"/>
      <c r="DG163" s="85"/>
      <c r="DH163" s="85"/>
      <c r="DI163" s="85"/>
      <c r="DJ163" s="85"/>
      <c r="DK163" s="85"/>
      <c r="DL163" s="85"/>
      <c r="DM163" s="85"/>
      <c r="DN163" s="85"/>
      <c r="DO163" s="85"/>
      <c r="DP163" s="85"/>
      <c r="DQ163" s="85"/>
      <c r="DR163" s="85"/>
      <c r="DS163" s="85"/>
      <c r="DT163" s="85"/>
      <c r="DU163" s="85"/>
      <c r="DV163" s="85"/>
      <c r="DW163" s="85"/>
      <c r="DX163" s="85"/>
      <c r="DY163" s="85"/>
      <c r="DZ163" s="85"/>
      <c r="EA163" s="85"/>
      <c r="EB163" s="85"/>
      <c r="EC163" s="85"/>
      <c r="ED163" s="85"/>
      <c r="EE163" s="85"/>
      <c r="EF163" s="85"/>
      <c r="EG163" s="85"/>
      <c r="EH163" s="85"/>
      <c r="EI163" s="85"/>
      <c r="EJ163" s="85"/>
      <c r="EK163" s="85"/>
      <c r="EL163" s="85"/>
      <c r="EM163" s="85"/>
      <c r="EN163" s="85"/>
      <c r="EO163" s="85"/>
      <c r="EP163" s="85"/>
      <c r="EQ163" s="85"/>
      <c r="ER163" s="85"/>
      <c r="ES163" s="85"/>
      <c r="ET163" s="85"/>
      <c r="EU163" s="85"/>
      <c r="EV163" s="85"/>
      <c r="EW163" s="85"/>
      <c r="EX163" s="85"/>
      <c r="EY163" s="85"/>
      <c r="EZ163" s="85"/>
      <c r="FA163" s="85"/>
      <c r="FB163" s="85"/>
      <c r="FC163" s="85"/>
      <c r="FD163" s="85"/>
      <c r="FE163" s="85"/>
      <c r="FF163" s="85"/>
      <c r="FG163" s="85"/>
      <c r="FH163" s="85"/>
      <c r="FI163" s="85"/>
      <c r="FJ163" s="85"/>
      <c r="FK163" s="85"/>
      <c r="FL163" s="85"/>
      <c r="FM163" s="85"/>
      <c r="FN163" s="85"/>
      <c r="FO163" s="85"/>
      <c r="FP163" s="85"/>
      <c r="FQ163" s="85"/>
      <c r="FR163" s="85"/>
      <c r="FS163" s="85"/>
      <c r="FT163" s="85"/>
      <c r="FU163" s="85"/>
      <c r="FV163" s="85"/>
      <c r="FW163" s="85"/>
      <c r="FX163" s="85"/>
      <c r="FY163" s="85"/>
      <c r="FZ163" s="85"/>
      <c r="GA163" s="85"/>
      <c r="GB163" s="85"/>
      <c r="GC163" s="85"/>
    </row>
    <row r="164" spans="1:185" x14ac:dyDescent="0.35">
      <c r="A164" s="85"/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5"/>
      <c r="AM164" s="85"/>
      <c r="AN164" s="85"/>
      <c r="AO164" s="85"/>
      <c r="AP164" s="85"/>
      <c r="AQ164" s="85"/>
      <c r="AR164" s="85"/>
      <c r="AS164" s="85"/>
      <c r="AT164" s="85"/>
      <c r="AU164" s="85"/>
      <c r="AV164" s="85"/>
      <c r="AW164" s="85"/>
      <c r="AX164" s="85"/>
      <c r="AY164" s="85"/>
      <c r="AZ164" s="85"/>
      <c r="BA164" s="85"/>
      <c r="BB164" s="85"/>
      <c r="BC164" s="85"/>
      <c r="BD164" s="85"/>
      <c r="BE164" s="85"/>
      <c r="BF164" s="85"/>
      <c r="BG164" s="85"/>
      <c r="BH164" s="85"/>
      <c r="BI164" s="85"/>
      <c r="BJ164" s="85"/>
      <c r="BK164" s="85"/>
      <c r="BL164" s="85"/>
      <c r="BM164" s="85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  <c r="DF164" s="85"/>
      <c r="DG164" s="85"/>
      <c r="DH164" s="85"/>
      <c r="DI164" s="85"/>
      <c r="DJ164" s="85"/>
      <c r="DK164" s="85"/>
      <c r="DL164" s="85"/>
      <c r="DM164" s="85"/>
      <c r="DN164" s="85"/>
      <c r="DO164" s="85"/>
      <c r="DP164" s="85"/>
      <c r="DQ164" s="85"/>
      <c r="DR164" s="85"/>
      <c r="DS164" s="85"/>
      <c r="DT164" s="85"/>
      <c r="DU164" s="85"/>
      <c r="DV164" s="85"/>
      <c r="DW164" s="85"/>
      <c r="DX164" s="85"/>
      <c r="DY164" s="85"/>
      <c r="DZ164" s="85"/>
      <c r="EA164" s="85"/>
      <c r="EB164" s="85"/>
      <c r="EC164" s="85"/>
      <c r="ED164" s="85"/>
      <c r="EE164" s="85"/>
      <c r="EF164" s="85"/>
      <c r="EG164" s="85"/>
      <c r="EH164" s="85"/>
      <c r="EI164" s="85"/>
      <c r="EJ164" s="85"/>
      <c r="EK164" s="85"/>
      <c r="EL164" s="85"/>
      <c r="EM164" s="85"/>
      <c r="EN164" s="85"/>
      <c r="EO164" s="85"/>
      <c r="EP164" s="85"/>
      <c r="EQ164" s="85"/>
      <c r="ER164" s="85"/>
      <c r="ES164" s="85"/>
      <c r="ET164" s="85"/>
      <c r="EU164" s="85"/>
      <c r="EV164" s="85"/>
      <c r="EW164" s="85"/>
      <c r="EX164" s="85"/>
      <c r="EY164" s="85"/>
      <c r="EZ164" s="85"/>
      <c r="FA164" s="85"/>
      <c r="FB164" s="85"/>
      <c r="FC164" s="85"/>
      <c r="FD164" s="85"/>
      <c r="FE164" s="85"/>
      <c r="FF164" s="85"/>
      <c r="FG164" s="85"/>
      <c r="FH164" s="85"/>
      <c r="FI164" s="85"/>
      <c r="FJ164" s="85"/>
      <c r="FK164" s="85"/>
      <c r="FL164" s="85"/>
      <c r="FM164" s="85"/>
      <c r="FN164" s="85"/>
      <c r="FO164" s="85"/>
      <c r="FP164" s="85"/>
      <c r="FQ164" s="85"/>
      <c r="FR164" s="85"/>
      <c r="FS164" s="85"/>
      <c r="FT164" s="85"/>
      <c r="FU164" s="85"/>
      <c r="FV164" s="85"/>
      <c r="FW164" s="85"/>
      <c r="FX164" s="85"/>
      <c r="FY164" s="85"/>
      <c r="FZ164" s="85"/>
      <c r="GA164" s="85"/>
      <c r="GB164" s="85"/>
      <c r="GC164" s="85"/>
    </row>
    <row r="165" spans="1:185" x14ac:dyDescent="0.35">
      <c r="A165" s="85"/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5"/>
      <c r="AM165" s="85"/>
      <c r="AN165" s="85"/>
      <c r="AO165" s="85"/>
      <c r="AP165" s="85"/>
      <c r="AQ165" s="85"/>
      <c r="AR165" s="85"/>
      <c r="AS165" s="85"/>
      <c r="AT165" s="85"/>
      <c r="AU165" s="85"/>
      <c r="AV165" s="85"/>
      <c r="AW165" s="85"/>
      <c r="AX165" s="85"/>
      <c r="AY165" s="85"/>
      <c r="AZ165" s="85"/>
      <c r="BA165" s="85"/>
      <c r="BB165" s="85"/>
      <c r="BC165" s="85"/>
      <c r="BD165" s="85"/>
      <c r="BE165" s="85"/>
      <c r="BF165" s="85"/>
      <c r="BG165" s="85"/>
      <c r="BH165" s="85"/>
      <c r="BI165" s="85"/>
      <c r="BJ165" s="85"/>
      <c r="BK165" s="85"/>
      <c r="BL165" s="85"/>
      <c r="BM165" s="85"/>
      <c r="BN165" s="85"/>
      <c r="BO165" s="85"/>
      <c r="BP165" s="85"/>
      <c r="BQ165" s="85"/>
      <c r="BR165" s="85"/>
      <c r="BS165" s="85"/>
      <c r="BT165" s="85"/>
      <c r="BU165" s="85"/>
      <c r="BV165" s="85"/>
      <c r="BW165" s="85"/>
      <c r="BX165" s="85"/>
      <c r="BY165" s="85"/>
      <c r="BZ165" s="85"/>
      <c r="CA165" s="85"/>
      <c r="CB165" s="85"/>
      <c r="CC165" s="85"/>
      <c r="CD165" s="85"/>
      <c r="CE165" s="85"/>
      <c r="CF165" s="85"/>
      <c r="CG165" s="85"/>
      <c r="CH165" s="85"/>
      <c r="CI165" s="85"/>
      <c r="CJ165" s="85"/>
      <c r="CK165" s="85"/>
      <c r="CL165" s="85"/>
      <c r="CM165" s="85"/>
      <c r="CN165" s="85"/>
      <c r="CO165" s="85"/>
      <c r="CP165" s="85"/>
      <c r="CQ165" s="85"/>
      <c r="CR165" s="85"/>
      <c r="CS165" s="85"/>
      <c r="CT165" s="85"/>
      <c r="CU165" s="85"/>
      <c r="CV165" s="85"/>
      <c r="CW165" s="85"/>
      <c r="CX165" s="85"/>
      <c r="CY165" s="85"/>
      <c r="CZ165" s="85"/>
      <c r="DA165" s="85"/>
      <c r="DB165" s="85"/>
      <c r="DC165" s="85"/>
      <c r="DD165" s="85"/>
      <c r="DE165" s="85"/>
      <c r="DF165" s="85"/>
      <c r="DG165" s="85"/>
      <c r="DH165" s="85"/>
      <c r="DI165" s="85"/>
      <c r="DJ165" s="85"/>
      <c r="DK165" s="85"/>
      <c r="DL165" s="85"/>
      <c r="DM165" s="85"/>
      <c r="DN165" s="85"/>
      <c r="DO165" s="85"/>
      <c r="DP165" s="85"/>
      <c r="DQ165" s="85"/>
      <c r="DR165" s="85"/>
      <c r="DS165" s="85"/>
      <c r="DT165" s="85"/>
      <c r="DU165" s="85"/>
      <c r="DV165" s="85"/>
      <c r="DW165" s="85"/>
      <c r="DX165" s="85"/>
      <c r="DY165" s="85"/>
      <c r="DZ165" s="85"/>
      <c r="EA165" s="85"/>
      <c r="EB165" s="85"/>
      <c r="EC165" s="85"/>
      <c r="ED165" s="85"/>
      <c r="EE165" s="85"/>
      <c r="EF165" s="85"/>
      <c r="EG165" s="85"/>
      <c r="EH165" s="85"/>
      <c r="EI165" s="85"/>
      <c r="EJ165" s="85"/>
      <c r="EK165" s="85"/>
      <c r="EL165" s="85"/>
      <c r="EM165" s="85"/>
      <c r="EN165" s="85"/>
      <c r="EO165" s="85"/>
      <c r="EP165" s="85"/>
      <c r="EQ165" s="85"/>
      <c r="ER165" s="85"/>
      <c r="ES165" s="85"/>
      <c r="ET165" s="85"/>
      <c r="EU165" s="85"/>
      <c r="EV165" s="85"/>
      <c r="EW165" s="85"/>
      <c r="EX165" s="85"/>
      <c r="EY165" s="85"/>
      <c r="EZ165" s="85"/>
      <c r="FA165" s="85"/>
      <c r="FB165" s="85"/>
      <c r="FC165" s="85"/>
      <c r="FD165" s="85"/>
      <c r="FE165" s="85"/>
      <c r="FF165" s="85"/>
      <c r="FG165" s="85"/>
      <c r="FH165" s="85"/>
      <c r="FI165" s="85"/>
      <c r="FJ165" s="85"/>
      <c r="FK165" s="85"/>
      <c r="FL165" s="85"/>
      <c r="FM165" s="85"/>
      <c r="FN165" s="85"/>
      <c r="FO165" s="85"/>
      <c r="FP165" s="85"/>
      <c r="FQ165" s="85"/>
      <c r="FR165" s="85"/>
      <c r="FS165" s="85"/>
      <c r="FT165" s="85"/>
      <c r="FU165" s="85"/>
      <c r="FV165" s="85"/>
      <c r="FW165" s="85"/>
      <c r="FX165" s="85"/>
      <c r="FY165" s="85"/>
      <c r="FZ165" s="85"/>
      <c r="GA165" s="85"/>
      <c r="GB165" s="85"/>
      <c r="GC165" s="85"/>
    </row>
    <row r="166" spans="1:185" x14ac:dyDescent="0.35">
      <c r="A166" s="85"/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5"/>
      <c r="AM166" s="85"/>
      <c r="AN166" s="85"/>
      <c r="AO166" s="85"/>
      <c r="AP166" s="85"/>
      <c r="AQ166" s="85"/>
      <c r="AR166" s="85"/>
      <c r="AS166" s="85"/>
      <c r="AT166" s="85"/>
      <c r="AU166" s="85"/>
      <c r="AV166" s="85"/>
      <c r="AW166" s="85"/>
      <c r="AX166" s="85"/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  <c r="DO166" s="85"/>
      <c r="DP166" s="85"/>
      <c r="DQ166" s="85"/>
      <c r="DR166" s="85"/>
      <c r="DS166" s="85"/>
      <c r="DT166" s="85"/>
      <c r="DU166" s="85"/>
      <c r="DV166" s="85"/>
      <c r="DW166" s="85"/>
      <c r="DX166" s="85"/>
      <c r="DY166" s="85"/>
      <c r="DZ166" s="85"/>
      <c r="EA166" s="85"/>
      <c r="EB166" s="85"/>
      <c r="EC166" s="85"/>
      <c r="ED166" s="85"/>
      <c r="EE166" s="85"/>
      <c r="EF166" s="85"/>
      <c r="EG166" s="85"/>
      <c r="EH166" s="85"/>
      <c r="EI166" s="85"/>
      <c r="EJ166" s="85"/>
      <c r="EK166" s="85"/>
      <c r="EL166" s="85"/>
      <c r="EM166" s="85"/>
      <c r="EN166" s="85"/>
      <c r="EO166" s="85"/>
      <c r="EP166" s="85"/>
      <c r="EQ166" s="85"/>
      <c r="ER166" s="85"/>
      <c r="ES166" s="85"/>
      <c r="ET166" s="85"/>
      <c r="EU166" s="85"/>
      <c r="EV166" s="85"/>
      <c r="EW166" s="85"/>
      <c r="EX166" s="85"/>
      <c r="EY166" s="85"/>
      <c r="EZ166" s="85"/>
      <c r="FA166" s="85"/>
      <c r="FB166" s="85"/>
      <c r="FC166" s="85"/>
      <c r="FD166" s="85"/>
      <c r="FE166" s="85"/>
      <c r="FF166" s="85"/>
      <c r="FG166" s="85"/>
      <c r="FH166" s="85"/>
      <c r="FI166" s="85"/>
      <c r="FJ166" s="85"/>
      <c r="FK166" s="85"/>
      <c r="FL166" s="85"/>
      <c r="FM166" s="85"/>
      <c r="FN166" s="85"/>
      <c r="FO166" s="85"/>
      <c r="FP166" s="85"/>
      <c r="FQ166" s="85"/>
      <c r="FR166" s="85"/>
      <c r="FS166" s="85"/>
      <c r="FT166" s="85"/>
      <c r="FU166" s="85"/>
      <c r="FV166" s="85"/>
      <c r="FW166" s="85"/>
      <c r="FX166" s="85"/>
      <c r="FY166" s="85"/>
      <c r="FZ166" s="85"/>
      <c r="GA166" s="85"/>
      <c r="GB166" s="85"/>
      <c r="GC166" s="85"/>
    </row>
    <row r="167" spans="1:185" x14ac:dyDescent="0.35">
      <c r="A167" s="85"/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85"/>
      <c r="AN167" s="85"/>
      <c r="AO167" s="85"/>
      <c r="AP167" s="85"/>
      <c r="AQ167" s="85"/>
      <c r="AR167" s="85"/>
      <c r="AS167" s="85"/>
      <c r="AT167" s="85"/>
      <c r="AU167" s="85"/>
      <c r="AV167" s="85"/>
      <c r="AW167" s="85"/>
      <c r="AX167" s="85"/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  <c r="DO167" s="85"/>
      <c r="DP167" s="85"/>
      <c r="DQ167" s="85"/>
      <c r="DR167" s="85"/>
      <c r="DS167" s="85"/>
      <c r="DT167" s="85"/>
      <c r="DU167" s="85"/>
      <c r="DV167" s="85"/>
      <c r="DW167" s="85"/>
      <c r="DX167" s="85"/>
      <c r="DY167" s="85"/>
      <c r="DZ167" s="85"/>
      <c r="EA167" s="85"/>
      <c r="EB167" s="85"/>
      <c r="EC167" s="85"/>
      <c r="ED167" s="85"/>
      <c r="EE167" s="85"/>
      <c r="EF167" s="85"/>
      <c r="EG167" s="85"/>
      <c r="EH167" s="85"/>
      <c r="EI167" s="85"/>
      <c r="EJ167" s="85"/>
      <c r="EK167" s="85"/>
      <c r="EL167" s="85"/>
      <c r="EM167" s="85"/>
      <c r="EN167" s="85"/>
      <c r="EO167" s="85"/>
      <c r="EP167" s="85"/>
      <c r="EQ167" s="85"/>
      <c r="ER167" s="85"/>
      <c r="ES167" s="85"/>
      <c r="ET167" s="85"/>
      <c r="EU167" s="85"/>
      <c r="EV167" s="85"/>
      <c r="EW167" s="85"/>
      <c r="EX167" s="85"/>
      <c r="EY167" s="85"/>
      <c r="EZ167" s="85"/>
      <c r="FA167" s="85"/>
      <c r="FB167" s="85"/>
      <c r="FC167" s="85"/>
      <c r="FD167" s="85"/>
      <c r="FE167" s="85"/>
      <c r="FF167" s="85"/>
      <c r="FG167" s="85"/>
      <c r="FH167" s="85"/>
      <c r="FI167" s="85"/>
      <c r="FJ167" s="85"/>
      <c r="FK167" s="85"/>
      <c r="FL167" s="85"/>
      <c r="FM167" s="85"/>
      <c r="FN167" s="85"/>
      <c r="FO167" s="85"/>
      <c r="FP167" s="85"/>
      <c r="FQ167" s="85"/>
      <c r="FR167" s="85"/>
      <c r="FS167" s="85"/>
      <c r="FT167" s="85"/>
      <c r="FU167" s="85"/>
      <c r="FV167" s="85"/>
      <c r="FW167" s="85"/>
      <c r="FX167" s="85"/>
      <c r="FY167" s="85"/>
      <c r="FZ167" s="85"/>
      <c r="GA167" s="85"/>
      <c r="GB167" s="85"/>
      <c r="GC167" s="85"/>
    </row>
    <row r="168" spans="1:185" x14ac:dyDescent="0.35">
      <c r="A168" s="85"/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85"/>
      <c r="EF168" s="85"/>
      <c r="EG168" s="85"/>
      <c r="EH168" s="85"/>
      <c r="EI168" s="85"/>
      <c r="EJ168" s="85"/>
      <c r="EK168" s="85"/>
      <c r="EL168" s="85"/>
      <c r="EM168" s="85"/>
      <c r="EN168" s="85"/>
      <c r="EO168" s="85"/>
      <c r="EP168" s="85"/>
      <c r="EQ168" s="85"/>
      <c r="ER168" s="85"/>
      <c r="ES168" s="85"/>
      <c r="ET168" s="85"/>
      <c r="EU168" s="85"/>
      <c r="EV168" s="85"/>
      <c r="EW168" s="85"/>
      <c r="EX168" s="85"/>
      <c r="EY168" s="85"/>
      <c r="EZ168" s="85"/>
      <c r="FA168" s="85"/>
      <c r="FB168" s="85"/>
      <c r="FC168" s="85"/>
      <c r="FD168" s="85"/>
      <c r="FE168" s="85"/>
      <c r="FF168" s="85"/>
      <c r="FG168" s="85"/>
      <c r="FH168" s="85"/>
      <c r="FI168" s="85"/>
      <c r="FJ168" s="85"/>
      <c r="FK168" s="85"/>
      <c r="FL168" s="85"/>
      <c r="FM168" s="85"/>
      <c r="FN168" s="85"/>
      <c r="FO168" s="85"/>
      <c r="FP168" s="85"/>
      <c r="FQ168" s="85"/>
      <c r="FR168" s="85"/>
      <c r="FS168" s="85"/>
      <c r="FT168" s="85"/>
      <c r="FU168" s="85"/>
      <c r="FV168" s="85"/>
      <c r="FW168" s="85"/>
      <c r="FX168" s="85"/>
      <c r="FY168" s="85"/>
      <c r="FZ168" s="85"/>
      <c r="GA168" s="85"/>
      <c r="GB168" s="85"/>
      <c r="GC168" s="85"/>
    </row>
    <row r="169" spans="1:185" x14ac:dyDescent="0.35">
      <c r="A169" s="85"/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AZ169" s="85"/>
      <c r="BA169" s="85"/>
      <c r="BB169" s="85"/>
      <c r="BC169" s="85"/>
      <c r="BD169" s="85"/>
      <c r="BE169" s="85"/>
      <c r="BF169" s="85"/>
      <c r="BG169" s="85"/>
      <c r="BH169" s="85"/>
      <c r="BI169" s="85"/>
      <c r="BJ169" s="85"/>
      <c r="BK169" s="85"/>
      <c r="BL169" s="85"/>
      <c r="BM169" s="85"/>
      <c r="BN169" s="85"/>
      <c r="BO169" s="85"/>
      <c r="BP169" s="85"/>
      <c r="BQ169" s="85"/>
      <c r="BR169" s="85"/>
      <c r="BS169" s="85"/>
      <c r="BT169" s="85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  <c r="DA169" s="85"/>
      <c r="DB169" s="85"/>
      <c r="DC169" s="85"/>
      <c r="DD169" s="85"/>
      <c r="DE169" s="85"/>
      <c r="DF169" s="85"/>
      <c r="DG169" s="85"/>
      <c r="DH169" s="85"/>
      <c r="DI169" s="85"/>
      <c r="DJ169" s="85"/>
      <c r="DK169" s="85"/>
      <c r="DL169" s="85"/>
      <c r="DM169" s="85"/>
      <c r="DN169" s="85"/>
      <c r="DO169" s="85"/>
      <c r="DP169" s="85"/>
      <c r="DQ169" s="85"/>
      <c r="DR169" s="85"/>
      <c r="DS169" s="85"/>
      <c r="DT169" s="85"/>
      <c r="DU169" s="85"/>
      <c r="DV169" s="85"/>
      <c r="DW169" s="85"/>
      <c r="DX169" s="85"/>
      <c r="DY169" s="85"/>
      <c r="DZ169" s="85"/>
      <c r="EA169" s="85"/>
      <c r="EB169" s="85"/>
      <c r="EC169" s="85"/>
      <c r="ED169" s="85"/>
      <c r="EE169" s="85"/>
      <c r="EF169" s="85"/>
      <c r="EG169" s="85"/>
      <c r="EH169" s="85"/>
      <c r="EI169" s="85"/>
      <c r="EJ169" s="85"/>
      <c r="EK169" s="85"/>
      <c r="EL169" s="85"/>
      <c r="EM169" s="85"/>
      <c r="EN169" s="85"/>
      <c r="EO169" s="85"/>
      <c r="EP169" s="85"/>
      <c r="EQ169" s="85"/>
      <c r="ER169" s="85"/>
      <c r="ES169" s="85"/>
      <c r="ET169" s="85"/>
      <c r="EU169" s="85"/>
      <c r="EV169" s="85"/>
      <c r="EW169" s="85"/>
      <c r="EX169" s="85"/>
      <c r="EY169" s="85"/>
      <c r="EZ169" s="85"/>
      <c r="FA169" s="85"/>
      <c r="FB169" s="85"/>
      <c r="FC169" s="85"/>
      <c r="FD169" s="85"/>
      <c r="FE169" s="85"/>
      <c r="FF169" s="85"/>
      <c r="FG169" s="85"/>
      <c r="FH169" s="85"/>
      <c r="FI169" s="85"/>
      <c r="FJ169" s="85"/>
      <c r="FK169" s="85"/>
      <c r="FL169" s="85"/>
      <c r="FM169" s="85"/>
      <c r="FN169" s="85"/>
      <c r="FO169" s="85"/>
      <c r="FP169" s="85"/>
      <c r="FQ169" s="85"/>
      <c r="FR169" s="85"/>
      <c r="FS169" s="85"/>
      <c r="FT169" s="85"/>
      <c r="FU169" s="85"/>
      <c r="FV169" s="85"/>
      <c r="FW169" s="85"/>
      <c r="FX169" s="85"/>
      <c r="FY169" s="85"/>
      <c r="FZ169" s="85"/>
      <c r="GA169" s="85"/>
      <c r="GB169" s="85"/>
      <c r="GC169" s="85"/>
    </row>
    <row r="170" spans="1:185" x14ac:dyDescent="0.35">
      <c r="A170" s="85"/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5"/>
      <c r="AM170" s="85"/>
      <c r="AN170" s="85"/>
      <c r="AO170" s="85"/>
      <c r="AP170" s="85"/>
      <c r="AQ170" s="85"/>
      <c r="AR170" s="85"/>
      <c r="AS170" s="85"/>
      <c r="AT170" s="85"/>
      <c r="AU170" s="85"/>
      <c r="AV170" s="85"/>
      <c r="AW170" s="85"/>
      <c r="AX170" s="85"/>
      <c r="AY170" s="85"/>
      <c r="AZ170" s="85"/>
      <c r="BA170" s="85"/>
      <c r="BB170" s="85"/>
      <c r="BC170" s="85"/>
      <c r="BD170" s="85"/>
      <c r="BE170" s="85"/>
      <c r="BF170" s="85"/>
      <c r="BG170" s="85"/>
      <c r="BH170" s="85"/>
      <c r="BI170" s="85"/>
      <c r="BJ170" s="85"/>
      <c r="BK170" s="85"/>
      <c r="BL170" s="85"/>
      <c r="BM170" s="85"/>
      <c r="BN170" s="85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5"/>
      <c r="CL170" s="85"/>
      <c r="CM170" s="85"/>
      <c r="CN170" s="85"/>
      <c r="CO170" s="85"/>
      <c r="CP170" s="85"/>
      <c r="CQ170" s="85"/>
      <c r="CR170" s="85"/>
      <c r="CS170" s="85"/>
      <c r="CT170" s="85"/>
      <c r="CU170" s="85"/>
      <c r="CV170" s="85"/>
      <c r="CW170" s="85"/>
      <c r="CX170" s="85"/>
      <c r="CY170" s="85"/>
      <c r="CZ170" s="85"/>
      <c r="DA170" s="85"/>
      <c r="DB170" s="85"/>
      <c r="DC170" s="85"/>
      <c r="DD170" s="85"/>
      <c r="DE170" s="85"/>
      <c r="DF170" s="85"/>
      <c r="DG170" s="85"/>
      <c r="DH170" s="85"/>
      <c r="DI170" s="85"/>
      <c r="DJ170" s="85"/>
      <c r="DK170" s="85"/>
      <c r="DL170" s="85"/>
      <c r="DM170" s="85"/>
      <c r="DN170" s="85"/>
      <c r="DO170" s="85"/>
      <c r="DP170" s="85"/>
      <c r="DQ170" s="85"/>
      <c r="DR170" s="85"/>
      <c r="DS170" s="85"/>
      <c r="DT170" s="85"/>
      <c r="DU170" s="85"/>
      <c r="DV170" s="85"/>
      <c r="DW170" s="85"/>
      <c r="DX170" s="85"/>
      <c r="DY170" s="85"/>
      <c r="DZ170" s="85"/>
      <c r="EA170" s="85"/>
      <c r="EB170" s="85"/>
      <c r="EC170" s="85"/>
      <c r="ED170" s="85"/>
      <c r="EE170" s="85"/>
      <c r="EF170" s="85"/>
      <c r="EG170" s="85"/>
      <c r="EH170" s="85"/>
      <c r="EI170" s="85"/>
      <c r="EJ170" s="85"/>
      <c r="EK170" s="85"/>
      <c r="EL170" s="85"/>
      <c r="EM170" s="85"/>
      <c r="EN170" s="85"/>
      <c r="EO170" s="85"/>
      <c r="EP170" s="85"/>
      <c r="EQ170" s="85"/>
      <c r="ER170" s="85"/>
      <c r="ES170" s="85"/>
      <c r="ET170" s="85"/>
      <c r="EU170" s="85"/>
      <c r="EV170" s="85"/>
      <c r="EW170" s="85"/>
      <c r="EX170" s="85"/>
      <c r="EY170" s="85"/>
      <c r="EZ170" s="85"/>
      <c r="FA170" s="85"/>
      <c r="FB170" s="85"/>
      <c r="FC170" s="85"/>
      <c r="FD170" s="85"/>
      <c r="FE170" s="85"/>
      <c r="FF170" s="85"/>
      <c r="FG170" s="85"/>
      <c r="FH170" s="85"/>
      <c r="FI170" s="85"/>
      <c r="FJ170" s="85"/>
      <c r="FK170" s="85"/>
      <c r="FL170" s="85"/>
      <c r="FM170" s="85"/>
      <c r="FN170" s="85"/>
      <c r="FO170" s="85"/>
      <c r="FP170" s="85"/>
      <c r="FQ170" s="85"/>
      <c r="FR170" s="85"/>
      <c r="FS170" s="85"/>
      <c r="FT170" s="85"/>
      <c r="FU170" s="85"/>
      <c r="FV170" s="85"/>
      <c r="FW170" s="85"/>
      <c r="FX170" s="85"/>
      <c r="FY170" s="85"/>
      <c r="FZ170" s="85"/>
      <c r="GA170" s="85"/>
      <c r="GB170" s="85"/>
      <c r="GC170" s="85"/>
    </row>
    <row r="171" spans="1:185" x14ac:dyDescent="0.35">
      <c r="A171" s="85"/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5"/>
      <c r="AM171" s="85"/>
      <c r="AN171" s="85"/>
      <c r="AO171" s="85"/>
      <c r="AP171" s="85"/>
      <c r="AQ171" s="85"/>
      <c r="AR171" s="85"/>
      <c r="AS171" s="85"/>
      <c r="AT171" s="85"/>
      <c r="AU171" s="85"/>
      <c r="AV171" s="85"/>
      <c r="AW171" s="85"/>
      <c r="AX171" s="85"/>
      <c r="AY171" s="85"/>
      <c r="AZ171" s="85"/>
      <c r="BA171" s="85"/>
      <c r="BB171" s="85"/>
      <c r="BC171" s="85"/>
      <c r="BD171" s="85"/>
      <c r="BE171" s="85"/>
      <c r="BF171" s="85"/>
      <c r="BG171" s="85"/>
      <c r="BH171" s="85"/>
      <c r="BI171" s="85"/>
      <c r="BJ171" s="85"/>
      <c r="BK171" s="85"/>
      <c r="BL171" s="85"/>
      <c r="BM171" s="85"/>
      <c r="BN171" s="85"/>
      <c r="BO171" s="85"/>
      <c r="BP171" s="85"/>
      <c r="BQ171" s="85"/>
      <c r="BR171" s="85"/>
      <c r="BS171" s="85"/>
      <c r="BT171" s="85"/>
      <c r="BU171" s="85"/>
      <c r="BV171" s="85"/>
      <c r="BW171" s="85"/>
      <c r="BX171" s="85"/>
      <c r="BY171" s="85"/>
      <c r="BZ171" s="85"/>
      <c r="CA171" s="85"/>
      <c r="CB171" s="85"/>
      <c r="CC171" s="85"/>
      <c r="CD171" s="85"/>
      <c r="CE171" s="85"/>
      <c r="CF171" s="85"/>
      <c r="CG171" s="85"/>
      <c r="CH171" s="85"/>
      <c r="CI171" s="85"/>
      <c r="CJ171" s="85"/>
      <c r="CK171" s="85"/>
      <c r="CL171" s="85"/>
      <c r="CM171" s="85"/>
      <c r="CN171" s="85"/>
      <c r="CO171" s="85"/>
      <c r="CP171" s="85"/>
      <c r="CQ171" s="85"/>
      <c r="CR171" s="85"/>
      <c r="CS171" s="85"/>
      <c r="CT171" s="85"/>
      <c r="CU171" s="85"/>
      <c r="CV171" s="85"/>
      <c r="CW171" s="85"/>
      <c r="CX171" s="85"/>
      <c r="CY171" s="85"/>
      <c r="CZ171" s="85"/>
      <c r="DA171" s="85"/>
      <c r="DB171" s="85"/>
      <c r="DC171" s="85"/>
      <c r="DD171" s="85"/>
      <c r="DE171" s="85"/>
      <c r="DF171" s="85"/>
      <c r="DG171" s="85"/>
      <c r="DH171" s="85"/>
      <c r="DI171" s="85"/>
      <c r="DJ171" s="85"/>
      <c r="DK171" s="85"/>
      <c r="DL171" s="85"/>
      <c r="DM171" s="85"/>
      <c r="DN171" s="85"/>
      <c r="DO171" s="85"/>
      <c r="DP171" s="85"/>
      <c r="DQ171" s="85"/>
      <c r="DR171" s="85"/>
      <c r="DS171" s="85"/>
      <c r="DT171" s="85"/>
      <c r="DU171" s="85"/>
      <c r="DV171" s="85"/>
      <c r="DW171" s="85"/>
      <c r="DX171" s="85"/>
      <c r="DY171" s="85"/>
      <c r="DZ171" s="85"/>
      <c r="EA171" s="85"/>
      <c r="EB171" s="85"/>
      <c r="EC171" s="85"/>
      <c r="ED171" s="85"/>
      <c r="EE171" s="85"/>
      <c r="EF171" s="85"/>
      <c r="EG171" s="85"/>
      <c r="EH171" s="85"/>
      <c r="EI171" s="85"/>
      <c r="EJ171" s="85"/>
      <c r="EK171" s="85"/>
      <c r="EL171" s="85"/>
      <c r="EM171" s="85"/>
      <c r="EN171" s="85"/>
      <c r="EO171" s="85"/>
      <c r="EP171" s="85"/>
      <c r="EQ171" s="85"/>
      <c r="ER171" s="85"/>
      <c r="ES171" s="85"/>
      <c r="ET171" s="85"/>
      <c r="EU171" s="85"/>
      <c r="EV171" s="85"/>
      <c r="EW171" s="85"/>
      <c r="EX171" s="85"/>
      <c r="EY171" s="85"/>
      <c r="EZ171" s="85"/>
      <c r="FA171" s="85"/>
      <c r="FB171" s="85"/>
      <c r="FC171" s="85"/>
      <c r="FD171" s="85"/>
      <c r="FE171" s="85"/>
      <c r="FF171" s="85"/>
      <c r="FG171" s="85"/>
      <c r="FH171" s="85"/>
      <c r="FI171" s="85"/>
      <c r="FJ171" s="85"/>
      <c r="FK171" s="85"/>
      <c r="FL171" s="85"/>
      <c r="FM171" s="85"/>
      <c r="FN171" s="85"/>
      <c r="FO171" s="85"/>
      <c r="FP171" s="85"/>
      <c r="FQ171" s="85"/>
      <c r="FR171" s="85"/>
      <c r="FS171" s="85"/>
      <c r="FT171" s="85"/>
      <c r="FU171" s="85"/>
      <c r="FV171" s="85"/>
      <c r="FW171" s="85"/>
      <c r="FX171" s="85"/>
      <c r="FY171" s="85"/>
      <c r="FZ171" s="85"/>
      <c r="GA171" s="85"/>
      <c r="GB171" s="85"/>
      <c r="GC171" s="85"/>
    </row>
    <row r="172" spans="1:185" x14ac:dyDescent="0.35">
      <c r="A172" s="85"/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5"/>
      <c r="AM172" s="85"/>
      <c r="AN172" s="85"/>
      <c r="AO172" s="85"/>
      <c r="AP172" s="85"/>
      <c r="AQ172" s="85"/>
      <c r="AR172" s="85"/>
      <c r="AS172" s="85"/>
      <c r="AT172" s="85"/>
      <c r="AU172" s="85"/>
      <c r="AV172" s="85"/>
      <c r="AW172" s="85"/>
      <c r="AX172" s="85"/>
      <c r="AY172" s="85"/>
      <c r="AZ172" s="85"/>
      <c r="BA172" s="85"/>
      <c r="BB172" s="85"/>
      <c r="BC172" s="85"/>
      <c r="BD172" s="85"/>
      <c r="BE172" s="85"/>
      <c r="BF172" s="85"/>
      <c r="BG172" s="85"/>
      <c r="BH172" s="85"/>
      <c r="BI172" s="85"/>
      <c r="BJ172" s="85"/>
      <c r="BK172" s="85"/>
      <c r="BL172" s="85"/>
      <c r="BM172" s="85"/>
      <c r="BN172" s="85"/>
      <c r="BO172" s="85"/>
      <c r="BP172" s="85"/>
      <c r="BQ172" s="85"/>
      <c r="BR172" s="85"/>
      <c r="BS172" s="85"/>
      <c r="BT172" s="85"/>
      <c r="BU172" s="85"/>
      <c r="BV172" s="85"/>
      <c r="BW172" s="85"/>
      <c r="BX172" s="85"/>
      <c r="BY172" s="85"/>
      <c r="BZ172" s="85"/>
      <c r="CA172" s="8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  <c r="DA172" s="85"/>
      <c r="DB172" s="85"/>
      <c r="DC172" s="85"/>
      <c r="DD172" s="85"/>
      <c r="DE172" s="85"/>
      <c r="DF172" s="85"/>
      <c r="DG172" s="85"/>
      <c r="DH172" s="85"/>
      <c r="DI172" s="85"/>
      <c r="DJ172" s="85"/>
      <c r="DK172" s="85"/>
      <c r="DL172" s="85"/>
      <c r="DM172" s="85"/>
      <c r="DN172" s="85"/>
      <c r="DO172" s="85"/>
      <c r="DP172" s="85"/>
      <c r="DQ172" s="85"/>
      <c r="DR172" s="85"/>
      <c r="DS172" s="85"/>
      <c r="DT172" s="85"/>
      <c r="DU172" s="85"/>
      <c r="DV172" s="85"/>
      <c r="DW172" s="85"/>
      <c r="DX172" s="85"/>
      <c r="DY172" s="85"/>
      <c r="DZ172" s="85"/>
      <c r="EA172" s="85"/>
      <c r="EB172" s="85"/>
      <c r="EC172" s="85"/>
      <c r="ED172" s="85"/>
      <c r="EE172" s="85"/>
      <c r="EF172" s="85"/>
      <c r="EG172" s="85"/>
      <c r="EH172" s="85"/>
      <c r="EI172" s="85"/>
      <c r="EJ172" s="85"/>
      <c r="EK172" s="85"/>
      <c r="EL172" s="85"/>
      <c r="EM172" s="85"/>
      <c r="EN172" s="85"/>
      <c r="EO172" s="85"/>
      <c r="EP172" s="85"/>
      <c r="EQ172" s="85"/>
      <c r="ER172" s="85"/>
      <c r="ES172" s="85"/>
      <c r="ET172" s="85"/>
      <c r="EU172" s="85"/>
      <c r="EV172" s="85"/>
      <c r="EW172" s="85"/>
      <c r="EX172" s="85"/>
      <c r="EY172" s="85"/>
      <c r="EZ172" s="85"/>
      <c r="FA172" s="85"/>
      <c r="FB172" s="85"/>
      <c r="FC172" s="85"/>
      <c r="FD172" s="85"/>
      <c r="FE172" s="85"/>
      <c r="FF172" s="85"/>
      <c r="FG172" s="85"/>
      <c r="FH172" s="85"/>
      <c r="FI172" s="85"/>
      <c r="FJ172" s="85"/>
      <c r="FK172" s="85"/>
      <c r="FL172" s="85"/>
      <c r="FM172" s="85"/>
      <c r="FN172" s="85"/>
      <c r="FO172" s="85"/>
      <c r="FP172" s="85"/>
      <c r="FQ172" s="85"/>
      <c r="FR172" s="85"/>
      <c r="FS172" s="85"/>
      <c r="FT172" s="85"/>
      <c r="FU172" s="85"/>
      <c r="FV172" s="85"/>
      <c r="FW172" s="85"/>
      <c r="FX172" s="85"/>
      <c r="FY172" s="85"/>
      <c r="FZ172" s="85"/>
      <c r="GA172" s="85"/>
      <c r="GB172" s="85"/>
      <c r="GC172" s="85"/>
    </row>
    <row r="173" spans="1:185" x14ac:dyDescent="0.35">
      <c r="A173" s="85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5"/>
      <c r="AM173" s="85"/>
      <c r="AN173" s="85"/>
      <c r="AO173" s="85"/>
      <c r="AP173" s="85"/>
      <c r="AQ173" s="85"/>
      <c r="AR173" s="85"/>
      <c r="AS173" s="85"/>
      <c r="AT173" s="85"/>
      <c r="AU173" s="85"/>
      <c r="AV173" s="85"/>
      <c r="AW173" s="85"/>
      <c r="AX173" s="85"/>
      <c r="AY173" s="85"/>
      <c r="AZ173" s="85"/>
      <c r="BA173" s="85"/>
      <c r="BB173" s="85"/>
      <c r="BC173" s="85"/>
      <c r="BD173" s="85"/>
      <c r="BE173" s="85"/>
      <c r="BF173" s="85"/>
      <c r="BG173" s="85"/>
      <c r="BH173" s="85"/>
      <c r="BI173" s="85"/>
      <c r="BJ173" s="85"/>
      <c r="BK173" s="85"/>
      <c r="BL173" s="85"/>
      <c r="BM173" s="85"/>
      <c r="BN173" s="85"/>
      <c r="BO173" s="85"/>
      <c r="BP173" s="85"/>
      <c r="BQ173" s="85"/>
      <c r="BR173" s="85"/>
      <c r="BS173" s="85"/>
      <c r="BT173" s="85"/>
      <c r="BU173" s="85"/>
      <c r="BV173" s="85"/>
      <c r="BW173" s="85"/>
      <c r="BX173" s="85"/>
      <c r="BY173" s="85"/>
      <c r="BZ173" s="85"/>
      <c r="CA173" s="85"/>
      <c r="CB173" s="85"/>
      <c r="CC173" s="85"/>
      <c r="CD173" s="85"/>
      <c r="CE173" s="85"/>
      <c r="CF173" s="85"/>
      <c r="CG173" s="85"/>
      <c r="CH173" s="85"/>
      <c r="CI173" s="85"/>
      <c r="CJ173" s="85"/>
      <c r="CK173" s="85"/>
      <c r="CL173" s="85"/>
      <c r="CM173" s="85"/>
      <c r="CN173" s="85"/>
      <c r="CO173" s="85"/>
      <c r="CP173" s="85"/>
      <c r="CQ173" s="85"/>
      <c r="CR173" s="85"/>
      <c r="CS173" s="85"/>
      <c r="CT173" s="85"/>
      <c r="CU173" s="85"/>
      <c r="CV173" s="85"/>
      <c r="CW173" s="85"/>
      <c r="CX173" s="85"/>
      <c r="CY173" s="85"/>
      <c r="CZ173" s="85"/>
      <c r="DA173" s="85"/>
      <c r="DB173" s="85"/>
      <c r="DC173" s="85"/>
      <c r="DD173" s="85"/>
      <c r="DE173" s="85"/>
      <c r="DF173" s="85"/>
      <c r="DG173" s="85"/>
      <c r="DH173" s="85"/>
      <c r="DI173" s="85"/>
      <c r="DJ173" s="85"/>
      <c r="DK173" s="85"/>
      <c r="DL173" s="85"/>
      <c r="DM173" s="85"/>
      <c r="DN173" s="85"/>
      <c r="DO173" s="85"/>
      <c r="DP173" s="85"/>
      <c r="DQ173" s="85"/>
      <c r="DR173" s="85"/>
      <c r="DS173" s="85"/>
      <c r="DT173" s="85"/>
      <c r="DU173" s="85"/>
      <c r="DV173" s="85"/>
      <c r="DW173" s="85"/>
      <c r="DX173" s="85"/>
      <c r="DY173" s="85"/>
      <c r="DZ173" s="85"/>
      <c r="EA173" s="85"/>
      <c r="EB173" s="85"/>
      <c r="EC173" s="85"/>
      <c r="ED173" s="85"/>
      <c r="EE173" s="85"/>
      <c r="EF173" s="85"/>
      <c r="EG173" s="85"/>
      <c r="EH173" s="85"/>
      <c r="EI173" s="85"/>
      <c r="EJ173" s="85"/>
      <c r="EK173" s="85"/>
      <c r="EL173" s="85"/>
      <c r="EM173" s="85"/>
      <c r="EN173" s="85"/>
      <c r="EO173" s="85"/>
      <c r="EP173" s="85"/>
      <c r="EQ173" s="85"/>
      <c r="ER173" s="85"/>
      <c r="ES173" s="85"/>
      <c r="ET173" s="85"/>
      <c r="EU173" s="85"/>
      <c r="EV173" s="85"/>
      <c r="EW173" s="85"/>
      <c r="EX173" s="85"/>
      <c r="EY173" s="85"/>
      <c r="EZ173" s="85"/>
      <c r="FA173" s="85"/>
      <c r="FB173" s="85"/>
      <c r="FC173" s="85"/>
      <c r="FD173" s="85"/>
      <c r="FE173" s="85"/>
      <c r="FF173" s="85"/>
      <c r="FG173" s="85"/>
      <c r="FH173" s="85"/>
      <c r="FI173" s="85"/>
      <c r="FJ173" s="85"/>
      <c r="FK173" s="85"/>
      <c r="FL173" s="85"/>
      <c r="FM173" s="85"/>
      <c r="FN173" s="85"/>
      <c r="FO173" s="85"/>
      <c r="FP173" s="85"/>
      <c r="FQ173" s="85"/>
      <c r="FR173" s="85"/>
      <c r="FS173" s="85"/>
      <c r="FT173" s="85"/>
      <c r="FU173" s="85"/>
      <c r="FV173" s="85"/>
      <c r="FW173" s="85"/>
      <c r="FX173" s="85"/>
      <c r="FY173" s="85"/>
      <c r="FZ173" s="85"/>
      <c r="GA173" s="85"/>
      <c r="GB173" s="85"/>
      <c r="GC173" s="85"/>
    </row>
    <row r="174" spans="1:185" x14ac:dyDescent="0.35">
      <c r="A174" s="85"/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5"/>
      <c r="AM174" s="85"/>
      <c r="AN174" s="85"/>
      <c r="AO174" s="85"/>
      <c r="AP174" s="85"/>
      <c r="AQ174" s="85"/>
      <c r="AR174" s="85"/>
      <c r="AS174" s="85"/>
      <c r="AT174" s="85"/>
      <c r="AU174" s="85"/>
      <c r="AV174" s="85"/>
      <c r="AW174" s="85"/>
      <c r="AX174" s="85"/>
      <c r="AY174" s="85"/>
      <c r="AZ174" s="85"/>
      <c r="BA174" s="85"/>
      <c r="BB174" s="85"/>
      <c r="BC174" s="85"/>
      <c r="BD174" s="85"/>
      <c r="BE174" s="85"/>
      <c r="BF174" s="85"/>
      <c r="BG174" s="85"/>
      <c r="BH174" s="85"/>
      <c r="BI174" s="85"/>
      <c r="BJ174" s="85"/>
      <c r="BK174" s="85"/>
      <c r="BL174" s="85"/>
      <c r="BM174" s="85"/>
      <c r="BN174" s="85"/>
      <c r="BO174" s="85"/>
      <c r="BP174" s="85"/>
      <c r="BQ174" s="85"/>
      <c r="BR174" s="85"/>
      <c r="BS174" s="85"/>
      <c r="BT174" s="85"/>
      <c r="BU174" s="85"/>
      <c r="BV174" s="85"/>
      <c r="BW174" s="85"/>
      <c r="BX174" s="85"/>
      <c r="BY174" s="85"/>
      <c r="BZ174" s="85"/>
      <c r="CA174" s="85"/>
      <c r="CB174" s="85"/>
      <c r="CC174" s="85"/>
      <c r="CD174" s="85"/>
      <c r="CE174" s="85"/>
      <c r="CF174" s="85"/>
      <c r="CG174" s="85"/>
      <c r="CH174" s="85"/>
      <c r="CI174" s="85"/>
      <c r="CJ174" s="85"/>
      <c r="CK174" s="85"/>
      <c r="CL174" s="85"/>
      <c r="CM174" s="85"/>
      <c r="CN174" s="85"/>
      <c r="CO174" s="85"/>
      <c r="CP174" s="85"/>
      <c r="CQ174" s="85"/>
      <c r="CR174" s="85"/>
      <c r="CS174" s="85"/>
      <c r="CT174" s="85"/>
      <c r="CU174" s="85"/>
      <c r="CV174" s="85"/>
      <c r="CW174" s="85"/>
      <c r="CX174" s="85"/>
      <c r="CY174" s="85"/>
      <c r="CZ174" s="85"/>
      <c r="DA174" s="85"/>
      <c r="DB174" s="85"/>
      <c r="DC174" s="85"/>
      <c r="DD174" s="85"/>
      <c r="DE174" s="85"/>
      <c r="DF174" s="85"/>
      <c r="DG174" s="85"/>
      <c r="DH174" s="85"/>
      <c r="DI174" s="85"/>
      <c r="DJ174" s="85"/>
      <c r="DK174" s="85"/>
      <c r="DL174" s="85"/>
      <c r="DM174" s="85"/>
      <c r="DN174" s="85"/>
      <c r="DO174" s="85"/>
      <c r="DP174" s="85"/>
      <c r="DQ174" s="85"/>
      <c r="DR174" s="85"/>
      <c r="DS174" s="85"/>
      <c r="DT174" s="85"/>
      <c r="DU174" s="85"/>
      <c r="DV174" s="85"/>
      <c r="DW174" s="85"/>
      <c r="DX174" s="85"/>
      <c r="DY174" s="85"/>
      <c r="DZ174" s="85"/>
      <c r="EA174" s="85"/>
      <c r="EB174" s="85"/>
      <c r="EC174" s="85"/>
      <c r="ED174" s="85"/>
      <c r="EE174" s="85"/>
      <c r="EF174" s="85"/>
      <c r="EG174" s="85"/>
      <c r="EH174" s="85"/>
      <c r="EI174" s="85"/>
      <c r="EJ174" s="85"/>
      <c r="EK174" s="85"/>
      <c r="EL174" s="85"/>
      <c r="EM174" s="85"/>
      <c r="EN174" s="85"/>
      <c r="EO174" s="85"/>
      <c r="EP174" s="85"/>
      <c r="EQ174" s="85"/>
      <c r="ER174" s="85"/>
      <c r="ES174" s="85"/>
      <c r="ET174" s="85"/>
      <c r="EU174" s="85"/>
      <c r="EV174" s="85"/>
      <c r="EW174" s="85"/>
      <c r="EX174" s="85"/>
      <c r="EY174" s="85"/>
      <c r="EZ174" s="85"/>
      <c r="FA174" s="85"/>
      <c r="FB174" s="85"/>
      <c r="FC174" s="85"/>
      <c r="FD174" s="85"/>
      <c r="FE174" s="85"/>
      <c r="FF174" s="85"/>
      <c r="FG174" s="85"/>
      <c r="FH174" s="85"/>
      <c r="FI174" s="85"/>
      <c r="FJ174" s="85"/>
      <c r="FK174" s="85"/>
      <c r="FL174" s="85"/>
      <c r="FM174" s="85"/>
      <c r="FN174" s="85"/>
      <c r="FO174" s="85"/>
      <c r="FP174" s="85"/>
      <c r="FQ174" s="85"/>
      <c r="FR174" s="85"/>
      <c r="FS174" s="85"/>
      <c r="FT174" s="85"/>
      <c r="FU174" s="85"/>
      <c r="FV174" s="85"/>
      <c r="FW174" s="85"/>
      <c r="FX174" s="85"/>
      <c r="FY174" s="85"/>
      <c r="FZ174" s="85"/>
      <c r="GA174" s="85"/>
      <c r="GB174" s="85"/>
      <c r="GC174" s="85"/>
    </row>
    <row r="175" spans="1:185" x14ac:dyDescent="0.35">
      <c r="A175" s="85"/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  <c r="AL175" s="85"/>
      <c r="AM175" s="85"/>
      <c r="AN175" s="85"/>
      <c r="AO175" s="85"/>
      <c r="AP175" s="85"/>
      <c r="AQ175" s="85"/>
      <c r="AR175" s="85"/>
      <c r="AS175" s="85"/>
      <c r="AT175" s="85"/>
      <c r="AU175" s="85"/>
      <c r="AV175" s="85"/>
      <c r="AW175" s="85"/>
      <c r="AX175" s="85"/>
      <c r="AY175" s="85"/>
      <c r="AZ175" s="85"/>
      <c r="BA175" s="85"/>
      <c r="BB175" s="85"/>
      <c r="BC175" s="85"/>
      <c r="BD175" s="85"/>
      <c r="BE175" s="85"/>
      <c r="BF175" s="85"/>
      <c r="BG175" s="85"/>
      <c r="BH175" s="85"/>
      <c r="BI175" s="85"/>
      <c r="BJ175" s="85"/>
      <c r="BK175" s="85"/>
      <c r="BL175" s="85"/>
      <c r="BM175" s="85"/>
      <c r="BN175" s="85"/>
      <c r="BO175" s="85"/>
      <c r="BP175" s="85"/>
      <c r="BQ175" s="85"/>
      <c r="BR175" s="85"/>
      <c r="BS175" s="85"/>
      <c r="BT175" s="85"/>
      <c r="BU175" s="85"/>
      <c r="BV175" s="85"/>
      <c r="BW175" s="85"/>
      <c r="BX175" s="85"/>
      <c r="BY175" s="85"/>
      <c r="BZ175" s="85"/>
      <c r="CA175" s="85"/>
      <c r="CB175" s="85"/>
      <c r="CC175" s="85"/>
      <c r="CD175" s="85"/>
      <c r="CE175" s="85"/>
      <c r="CF175" s="85"/>
      <c r="CG175" s="85"/>
      <c r="CH175" s="85"/>
      <c r="CI175" s="85"/>
      <c r="CJ175" s="85"/>
      <c r="CK175" s="85"/>
      <c r="CL175" s="85"/>
      <c r="CM175" s="85"/>
      <c r="CN175" s="85"/>
      <c r="CO175" s="85"/>
      <c r="CP175" s="85"/>
      <c r="CQ175" s="85"/>
      <c r="CR175" s="85"/>
      <c r="CS175" s="85"/>
      <c r="CT175" s="85"/>
      <c r="CU175" s="85"/>
      <c r="CV175" s="85"/>
      <c r="CW175" s="85"/>
      <c r="CX175" s="85"/>
      <c r="CY175" s="85"/>
      <c r="CZ175" s="85"/>
      <c r="DA175" s="85"/>
      <c r="DB175" s="85"/>
      <c r="DC175" s="85"/>
      <c r="DD175" s="85"/>
      <c r="DE175" s="85"/>
      <c r="DF175" s="85"/>
      <c r="DG175" s="85"/>
      <c r="DH175" s="85"/>
      <c r="DI175" s="85"/>
      <c r="DJ175" s="85"/>
      <c r="DK175" s="85"/>
      <c r="DL175" s="85"/>
      <c r="DM175" s="85"/>
      <c r="DN175" s="85"/>
      <c r="DO175" s="85"/>
      <c r="DP175" s="85"/>
      <c r="DQ175" s="85"/>
      <c r="DR175" s="85"/>
      <c r="DS175" s="85"/>
      <c r="DT175" s="85"/>
      <c r="DU175" s="85"/>
      <c r="DV175" s="85"/>
      <c r="DW175" s="85"/>
      <c r="DX175" s="85"/>
      <c r="DY175" s="85"/>
      <c r="DZ175" s="85"/>
      <c r="EA175" s="85"/>
      <c r="EB175" s="85"/>
      <c r="EC175" s="85"/>
      <c r="ED175" s="85"/>
      <c r="EE175" s="85"/>
      <c r="EF175" s="85"/>
      <c r="EG175" s="85"/>
      <c r="EH175" s="85"/>
      <c r="EI175" s="85"/>
      <c r="EJ175" s="85"/>
      <c r="EK175" s="85"/>
      <c r="EL175" s="85"/>
      <c r="EM175" s="85"/>
      <c r="EN175" s="85"/>
      <c r="EO175" s="85"/>
      <c r="EP175" s="85"/>
      <c r="EQ175" s="85"/>
      <c r="ER175" s="85"/>
      <c r="ES175" s="85"/>
      <c r="ET175" s="85"/>
      <c r="EU175" s="85"/>
      <c r="EV175" s="85"/>
      <c r="EW175" s="85"/>
      <c r="EX175" s="85"/>
      <c r="EY175" s="85"/>
      <c r="EZ175" s="85"/>
      <c r="FA175" s="85"/>
      <c r="FB175" s="85"/>
      <c r="FC175" s="85"/>
      <c r="FD175" s="85"/>
      <c r="FE175" s="85"/>
      <c r="FF175" s="85"/>
      <c r="FG175" s="85"/>
      <c r="FH175" s="85"/>
      <c r="FI175" s="85"/>
      <c r="FJ175" s="85"/>
      <c r="FK175" s="85"/>
      <c r="FL175" s="85"/>
      <c r="FM175" s="85"/>
      <c r="FN175" s="85"/>
      <c r="FO175" s="85"/>
      <c r="FP175" s="85"/>
      <c r="FQ175" s="85"/>
      <c r="FR175" s="85"/>
      <c r="FS175" s="85"/>
      <c r="FT175" s="85"/>
      <c r="FU175" s="85"/>
      <c r="FV175" s="85"/>
      <c r="FW175" s="85"/>
      <c r="FX175" s="85"/>
      <c r="FY175" s="85"/>
      <c r="FZ175" s="85"/>
      <c r="GA175" s="85"/>
      <c r="GB175" s="85"/>
      <c r="GC175" s="85"/>
    </row>
    <row r="176" spans="1:185" x14ac:dyDescent="0.35">
      <c r="A176" s="85"/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  <c r="AL176" s="85"/>
      <c r="AM176" s="85"/>
      <c r="AN176" s="85"/>
      <c r="AO176" s="85"/>
      <c r="AP176" s="85"/>
      <c r="AQ176" s="85"/>
      <c r="AR176" s="85"/>
      <c r="AS176" s="85"/>
      <c r="AT176" s="85"/>
      <c r="AU176" s="85"/>
      <c r="AV176" s="85"/>
      <c r="AW176" s="85"/>
      <c r="AX176" s="85"/>
      <c r="AY176" s="85"/>
      <c r="AZ176" s="85"/>
      <c r="BA176" s="85"/>
      <c r="BB176" s="85"/>
      <c r="BC176" s="85"/>
      <c r="BD176" s="85"/>
      <c r="BE176" s="85"/>
      <c r="BF176" s="85"/>
      <c r="BG176" s="85"/>
      <c r="BH176" s="85"/>
      <c r="BI176" s="85"/>
      <c r="BJ176" s="85"/>
      <c r="BK176" s="85"/>
      <c r="BL176" s="85"/>
      <c r="BM176" s="85"/>
      <c r="BN176" s="85"/>
      <c r="BO176" s="85"/>
      <c r="BP176" s="85"/>
      <c r="BQ176" s="85"/>
      <c r="BR176" s="85"/>
      <c r="BS176" s="85"/>
      <c r="BT176" s="85"/>
      <c r="BU176" s="85"/>
      <c r="BV176" s="85"/>
      <c r="BW176" s="85"/>
      <c r="BX176" s="85"/>
      <c r="BY176" s="85"/>
      <c r="BZ176" s="85"/>
      <c r="CA176" s="85"/>
      <c r="CB176" s="85"/>
      <c r="CC176" s="85"/>
      <c r="CD176" s="85"/>
      <c r="CE176" s="85"/>
      <c r="CF176" s="85"/>
      <c r="CG176" s="85"/>
      <c r="CH176" s="85"/>
      <c r="CI176" s="85"/>
      <c r="CJ176" s="85"/>
      <c r="CK176" s="85"/>
      <c r="CL176" s="85"/>
      <c r="CM176" s="85"/>
      <c r="CN176" s="85"/>
      <c r="CO176" s="85"/>
      <c r="CP176" s="85"/>
      <c r="CQ176" s="85"/>
      <c r="CR176" s="85"/>
      <c r="CS176" s="85"/>
      <c r="CT176" s="85"/>
      <c r="CU176" s="85"/>
      <c r="CV176" s="85"/>
      <c r="CW176" s="85"/>
      <c r="CX176" s="85"/>
      <c r="CY176" s="85"/>
      <c r="CZ176" s="85"/>
      <c r="DA176" s="85"/>
      <c r="DB176" s="85"/>
      <c r="DC176" s="85"/>
      <c r="DD176" s="85"/>
      <c r="DE176" s="85"/>
      <c r="DF176" s="85"/>
      <c r="DG176" s="85"/>
      <c r="DH176" s="85"/>
      <c r="DI176" s="85"/>
      <c r="DJ176" s="85"/>
      <c r="DK176" s="85"/>
      <c r="DL176" s="85"/>
      <c r="DM176" s="85"/>
      <c r="DN176" s="85"/>
      <c r="DO176" s="85"/>
      <c r="DP176" s="85"/>
      <c r="DQ176" s="85"/>
      <c r="DR176" s="85"/>
      <c r="DS176" s="85"/>
      <c r="DT176" s="85"/>
      <c r="DU176" s="85"/>
      <c r="DV176" s="85"/>
      <c r="DW176" s="85"/>
      <c r="DX176" s="85"/>
      <c r="DY176" s="85"/>
      <c r="DZ176" s="85"/>
      <c r="EA176" s="85"/>
      <c r="EB176" s="85"/>
      <c r="EC176" s="85"/>
      <c r="ED176" s="85"/>
      <c r="EE176" s="85"/>
      <c r="EF176" s="85"/>
      <c r="EG176" s="85"/>
      <c r="EH176" s="85"/>
      <c r="EI176" s="85"/>
      <c r="EJ176" s="85"/>
      <c r="EK176" s="85"/>
      <c r="EL176" s="85"/>
      <c r="EM176" s="85"/>
      <c r="EN176" s="85"/>
      <c r="EO176" s="85"/>
      <c r="EP176" s="85"/>
      <c r="EQ176" s="85"/>
      <c r="ER176" s="85"/>
      <c r="ES176" s="85"/>
      <c r="ET176" s="85"/>
      <c r="EU176" s="85"/>
      <c r="EV176" s="85"/>
      <c r="EW176" s="85"/>
      <c r="EX176" s="85"/>
      <c r="EY176" s="85"/>
      <c r="EZ176" s="85"/>
      <c r="FA176" s="85"/>
      <c r="FB176" s="85"/>
      <c r="FC176" s="85"/>
      <c r="FD176" s="85"/>
      <c r="FE176" s="85"/>
      <c r="FF176" s="85"/>
      <c r="FG176" s="85"/>
      <c r="FH176" s="85"/>
      <c r="FI176" s="85"/>
      <c r="FJ176" s="85"/>
      <c r="FK176" s="85"/>
      <c r="FL176" s="85"/>
      <c r="FM176" s="85"/>
      <c r="FN176" s="85"/>
      <c r="FO176" s="85"/>
      <c r="FP176" s="85"/>
      <c r="FQ176" s="85"/>
      <c r="FR176" s="85"/>
      <c r="FS176" s="85"/>
      <c r="FT176" s="85"/>
      <c r="FU176" s="85"/>
      <c r="FV176" s="85"/>
      <c r="FW176" s="85"/>
      <c r="FX176" s="85"/>
      <c r="FY176" s="85"/>
      <c r="FZ176" s="85"/>
      <c r="GA176" s="85"/>
      <c r="GB176" s="85"/>
      <c r="GC176" s="85"/>
    </row>
    <row r="177" spans="1:185" x14ac:dyDescent="0.35">
      <c r="A177" s="85"/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85"/>
      <c r="AN177" s="85"/>
      <c r="AO177" s="85"/>
      <c r="AP177" s="85"/>
      <c r="AQ177" s="85"/>
      <c r="AR177" s="85"/>
      <c r="AS177" s="85"/>
      <c r="AT177" s="85"/>
      <c r="AU177" s="85"/>
      <c r="AV177" s="85"/>
      <c r="AW177" s="85"/>
      <c r="AX177" s="85"/>
      <c r="AY177" s="85"/>
      <c r="AZ177" s="85"/>
      <c r="BA177" s="85"/>
      <c r="BB177" s="85"/>
      <c r="BC177" s="85"/>
      <c r="BD177" s="85"/>
      <c r="BE177" s="85"/>
      <c r="BF177" s="85"/>
      <c r="BG177" s="85"/>
      <c r="BH177" s="85"/>
      <c r="BI177" s="85"/>
      <c r="BJ177" s="85"/>
      <c r="BK177" s="85"/>
      <c r="BL177" s="85"/>
      <c r="BM177" s="85"/>
      <c r="BN177" s="85"/>
      <c r="BO177" s="85"/>
      <c r="BP177" s="85"/>
      <c r="BQ177" s="85"/>
      <c r="BR177" s="85"/>
      <c r="BS177" s="85"/>
      <c r="BT177" s="85"/>
      <c r="BU177" s="85"/>
      <c r="BV177" s="85"/>
      <c r="BW177" s="85"/>
      <c r="BX177" s="85"/>
      <c r="BY177" s="85"/>
      <c r="BZ177" s="85"/>
      <c r="CA177" s="85"/>
      <c r="CB177" s="85"/>
      <c r="CC177" s="85"/>
      <c r="CD177" s="85"/>
      <c r="CE177" s="85"/>
      <c r="CF177" s="85"/>
      <c r="CG177" s="85"/>
      <c r="CH177" s="85"/>
      <c r="CI177" s="85"/>
      <c r="CJ177" s="85"/>
      <c r="CK177" s="85"/>
      <c r="CL177" s="85"/>
      <c r="CM177" s="85"/>
      <c r="CN177" s="85"/>
      <c r="CO177" s="85"/>
      <c r="CP177" s="85"/>
      <c r="CQ177" s="85"/>
      <c r="CR177" s="85"/>
      <c r="CS177" s="85"/>
      <c r="CT177" s="85"/>
      <c r="CU177" s="85"/>
      <c r="CV177" s="85"/>
      <c r="CW177" s="85"/>
      <c r="CX177" s="85"/>
      <c r="CY177" s="85"/>
      <c r="CZ177" s="85"/>
      <c r="DA177" s="85"/>
      <c r="DB177" s="85"/>
      <c r="DC177" s="85"/>
      <c r="DD177" s="85"/>
      <c r="DE177" s="85"/>
      <c r="DF177" s="85"/>
      <c r="DG177" s="85"/>
      <c r="DH177" s="85"/>
      <c r="DI177" s="85"/>
      <c r="DJ177" s="85"/>
      <c r="DK177" s="85"/>
      <c r="DL177" s="85"/>
      <c r="DM177" s="85"/>
      <c r="DN177" s="85"/>
      <c r="DO177" s="85"/>
      <c r="DP177" s="85"/>
      <c r="DQ177" s="85"/>
      <c r="DR177" s="85"/>
      <c r="DS177" s="85"/>
      <c r="DT177" s="85"/>
      <c r="DU177" s="85"/>
      <c r="DV177" s="85"/>
      <c r="DW177" s="85"/>
      <c r="DX177" s="85"/>
      <c r="DY177" s="85"/>
      <c r="DZ177" s="85"/>
      <c r="EA177" s="85"/>
      <c r="EB177" s="85"/>
      <c r="EC177" s="85"/>
      <c r="ED177" s="85"/>
      <c r="EE177" s="85"/>
      <c r="EF177" s="85"/>
      <c r="EG177" s="85"/>
      <c r="EH177" s="85"/>
      <c r="EI177" s="85"/>
      <c r="EJ177" s="85"/>
      <c r="EK177" s="85"/>
      <c r="EL177" s="85"/>
      <c r="EM177" s="85"/>
      <c r="EN177" s="85"/>
      <c r="EO177" s="85"/>
      <c r="EP177" s="85"/>
      <c r="EQ177" s="85"/>
      <c r="ER177" s="85"/>
      <c r="ES177" s="85"/>
      <c r="ET177" s="85"/>
      <c r="EU177" s="85"/>
      <c r="EV177" s="85"/>
      <c r="EW177" s="85"/>
      <c r="EX177" s="85"/>
      <c r="EY177" s="85"/>
      <c r="EZ177" s="85"/>
      <c r="FA177" s="85"/>
      <c r="FB177" s="85"/>
      <c r="FC177" s="85"/>
      <c r="FD177" s="85"/>
      <c r="FE177" s="85"/>
      <c r="FF177" s="85"/>
      <c r="FG177" s="85"/>
      <c r="FH177" s="85"/>
      <c r="FI177" s="85"/>
      <c r="FJ177" s="85"/>
      <c r="FK177" s="85"/>
      <c r="FL177" s="85"/>
      <c r="FM177" s="85"/>
      <c r="FN177" s="85"/>
      <c r="FO177" s="85"/>
      <c r="FP177" s="85"/>
      <c r="FQ177" s="85"/>
      <c r="FR177" s="85"/>
      <c r="FS177" s="85"/>
      <c r="FT177" s="85"/>
      <c r="FU177" s="85"/>
      <c r="FV177" s="85"/>
      <c r="FW177" s="85"/>
      <c r="FX177" s="85"/>
      <c r="FY177" s="85"/>
      <c r="FZ177" s="85"/>
      <c r="GA177" s="85"/>
      <c r="GB177" s="85"/>
      <c r="GC177" s="85"/>
    </row>
    <row r="178" spans="1:185" x14ac:dyDescent="0.35">
      <c r="A178" s="85"/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  <c r="AL178" s="85"/>
      <c r="AM178" s="85"/>
      <c r="AN178" s="85"/>
      <c r="AO178" s="85"/>
      <c r="AP178" s="85"/>
      <c r="AQ178" s="85"/>
      <c r="AR178" s="85"/>
      <c r="AS178" s="85"/>
      <c r="AT178" s="85"/>
      <c r="AU178" s="85"/>
      <c r="AV178" s="85"/>
      <c r="AW178" s="85"/>
      <c r="AX178" s="85"/>
      <c r="AY178" s="85"/>
      <c r="AZ178" s="85"/>
      <c r="BA178" s="85"/>
      <c r="BB178" s="85"/>
      <c r="BC178" s="85"/>
      <c r="BD178" s="85"/>
      <c r="BE178" s="85"/>
      <c r="BF178" s="85"/>
      <c r="BG178" s="85"/>
      <c r="BH178" s="85"/>
      <c r="BI178" s="85"/>
      <c r="BJ178" s="85"/>
      <c r="BK178" s="85"/>
      <c r="BL178" s="85"/>
      <c r="BM178" s="85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  <c r="DF178" s="85"/>
      <c r="DG178" s="85"/>
      <c r="DH178" s="85"/>
      <c r="DI178" s="85"/>
      <c r="DJ178" s="85"/>
      <c r="DK178" s="85"/>
      <c r="DL178" s="85"/>
      <c r="DM178" s="85"/>
      <c r="DN178" s="85"/>
      <c r="DO178" s="85"/>
      <c r="DP178" s="85"/>
      <c r="DQ178" s="85"/>
      <c r="DR178" s="85"/>
      <c r="DS178" s="85"/>
      <c r="DT178" s="85"/>
      <c r="DU178" s="85"/>
      <c r="DV178" s="85"/>
      <c r="DW178" s="85"/>
      <c r="DX178" s="85"/>
      <c r="DY178" s="85"/>
      <c r="DZ178" s="85"/>
      <c r="EA178" s="85"/>
      <c r="EB178" s="85"/>
      <c r="EC178" s="85"/>
      <c r="ED178" s="85"/>
      <c r="EE178" s="85"/>
      <c r="EF178" s="85"/>
      <c r="EG178" s="85"/>
      <c r="EH178" s="85"/>
      <c r="EI178" s="85"/>
      <c r="EJ178" s="85"/>
      <c r="EK178" s="85"/>
      <c r="EL178" s="85"/>
      <c r="EM178" s="85"/>
      <c r="EN178" s="85"/>
      <c r="EO178" s="85"/>
      <c r="EP178" s="85"/>
      <c r="EQ178" s="85"/>
      <c r="ER178" s="85"/>
      <c r="ES178" s="85"/>
      <c r="ET178" s="85"/>
      <c r="EU178" s="85"/>
      <c r="EV178" s="85"/>
      <c r="EW178" s="85"/>
      <c r="EX178" s="85"/>
      <c r="EY178" s="85"/>
      <c r="EZ178" s="85"/>
      <c r="FA178" s="85"/>
      <c r="FB178" s="85"/>
      <c r="FC178" s="85"/>
      <c r="FD178" s="85"/>
      <c r="FE178" s="85"/>
      <c r="FF178" s="85"/>
      <c r="FG178" s="85"/>
      <c r="FH178" s="85"/>
      <c r="FI178" s="85"/>
      <c r="FJ178" s="85"/>
      <c r="FK178" s="85"/>
      <c r="FL178" s="85"/>
      <c r="FM178" s="85"/>
      <c r="FN178" s="85"/>
      <c r="FO178" s="85"/>
      <c r="FP178" s="85"/>
      <c r="FQ178" s="85"/>
      <c r="FR178" s="85"/>
      <c r="FS178" s="85"/>
      <c r="FT178" s="85"/>
      <c r="FU178" s="85"/>
      <c r="FV178" s="85"/>
      <c r="FW178" s="85"/>
      <c r="FX178" s="85"/>
      <c r="FY178" s="85"/>
      <c r="FZ178" s="85"/>
      <c r="GA178" s="85"/>
      <c r="GB178" s="85"/>
      <c r="GC178" s="85"/>
    </row>
    <row r="179" spans="1:185" x14ac:dyDescent="0.35">
      <c r="A179" s="85"/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  <c r="AL179" s="85"/>
      <c r="AM179" s="85"/>
      <c r="AN179" s="85"/>
      <c r="AO179" s="85"/>
      <c r="AP179" s="85"/>
      <c r="AQ179" s="85"/>
      <c r="AR179" s="85"/>
      <c r="AS179" s="85"/>
      <c r="AT179" s="85"/>
      <c r="AU179" s="85"/>
      <c r="AV179" s="85"/>
      <c r="AW179" s="85"/>
      <c r="AX179" s="85"/>
      <c r="AY179" s="85"/>
      <c r="AZ179" s="85"/>
      <c r="BA179" s="85"/>
      <c r="BB179" s="85"/>
      <c r="BC179" s="85"/>
      <c r="BD179" s="85"/>
      <c r="BE179" s="85"/>
      <c r="BF179" s="85"/>
      <c r="BG179" s="85"/>
      <c r="BH179" s="85"/>
      <c r="BI179" s="85"/>
      <c r="BJ179" s="85"/>
      <c r="BK179" s="85"/>
      <c r="BL179" s="85"/>
      <c r="BM179" s="85"/>
      <c r="BN179" s="85"/>
      <c r="BO179" s="85"/>
      <c r="BP179" s="85"/>
      <c r="BQ179" s="85"/>
      <c r="BR179" s="85"/>
      <c r="BS179" s="85"/>
      <c r="BT179" s="85"/>
      <c r="BU179" s="85"/>
      <c r="BV179" s="85"/>
      <c r="BW179" s="85"/>
      <c r="BX179" s="85"/>
      <c r="BY179" s="85"/>
      <c r="BZ179" s="85"/>
      <c r="CA179" s="85"/>
      <c r="CB179" s="85"/>
      <c r="CC179" s="85"/>
      <c r="CD179" s="85"/>
      <c r="CE179" s="85"/>
      <c r="CF179" s="85"/>
      <c r="CG179" s="85"/>
      <c r="CH179" s="85"/>
      <c r="CI179" s="85"/>
      <c r="CJ179" s="85"/>
      <c r="CK179" s="85"/>
      <c r="CL179" s="85"/>
      <c r="CM179" s="85"/>
      <c r="CN179" s="85"/>
      <c r="CO179" s="85"/>
      <c r="CP179" s="85"/>
      <c r="CQ179" s="85"/>
      <c r="CR179" s="85"/>
      <c r="CS179" s="85"/>
      <c r="CT179" s="85"/>
      <c r="CU179" s="85"/>
      <c r="CV179" s="85"/>
      <c r="CW179" s="85"/>
      <c r="CX179" s="85"/>
      <c r="CY179" s="85"/>
      <c r="CZ179" s="85"/>
      <c r="DA179" s="85"/>
      <c r="DB179" s="85"/>
      <c r="DC179" s="85"/>
      <c r="DD179" s="85"/>
      <c r="DE179" s="85"/>
      <c r="DF179" s="85"/>
      <c r="DG179" s="85"/>
      <c r="DH179" s="85"/>
      <c r="DI179" s="85"/>
      <c r="DJ179" s="85"/>
      <c r="DK179" s="85"/>
      <c r="DL179" s="85"/>
      <c r="DM179" s="85"/>
      <c r="DN179" s="85"/>
      <c r="DO179" s="85"/>
      <c r="DP179" s="85"/>
      <c r="DQ179" s="85"/>
      <c r="DR179" s="85"/>
      <c r="DS179" s="85"/>
      <c r="DT179" s="85"/>
      <c r="DU179" s="85"/>
      <c r="DV179" s="85"/>
      <c r="DW179" s="85"/>
      <c r="DX179" s="85"/>
      <c r="DY179" s="85"/>
      <c r="DZ179" s="85"/>
      <c r="EA179" s="85"/>
      <c r="EB179" s="85"/>
      <c r="EC179" s="85"/>
      <c r="ED179" s="85"/>
      <c r="EE179" s="85"/>
      <c r="EF179" s="85"/>
      <c r="EG179" s="85"/>
      <c r="EH179" s="85"/>
      <c r="EI179" s="85"/>
      <c r="EJ179" s="85"/>
      <c r="EK179" s="85"/>
      <c r="EL179" s="85"/>
      <c r="EM179" s="85"/>
      <c r="EN179" s="85"/>
      <c r="EO179" s="85"/>
      <c r="EP179" s="85"/>
      <c r="EQ179" s="85"/>
      <c r="ER179" s="85"/>
      <c r="ES179" s="85"/>
      <c r="ET179" s="85"/>
      <c r="EU179" s="85"/>
      <c r="EV179" s="85"/>
      <c r="EW179" s="85"/>
      <c r="EX179" s="85"/>
      <c r="EY179" s="85"/>
      <c r="EZ179" s="85"/>
      <c r="FA179" s="85"/>
      <c r="FB179" s="85"/>
      <c r="FC179" s="85"/>
      <c r="FD179" s="85"/>
      <c r="FE179" s="85"/>
      <c r="FF179" s="85"/>
      <c r="FG179" s="85"/>
      <c r="FH179" s="85"/>
      <c r="FI179" s="85"/>
      <c r="FJ179" s="85"/>
      <c r="FK179" s="85"/>
      <c r="FL179" s="85"/>
      <c r="FM179" s="85"/>
      <c r="FN179" s="85"/>
      <c r="FO179" s="85"/>
      <c r="FP179" s="85"/>
      <c r="FQ179" s="85"/>
      <c r="FR179" s="85"/>
      <c r="FS179" s="85"/>
      <c r="FT179" s="85"/>
      <c r="FU179" s="85"/>
      <c r="FV179" s="85"/>
      <c r="FW179" s="85"/>
      <c r="FX179" s="85"/>
      <c r="FY179" s="85"/>
      <c r="FZ179" s="85"/>
      <c r="GA179" s="85"/>
      <c r="GB179" s="85"/>
      <c r="GC179" s="85"/>
    </row>
    <row r="180" spans="1:185" x14ac:dyDescent="0.35">
      <c r="A180" s="85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  <c r="AL180" s="85"/>
      <c r="AM180" s="85"/>
      <c r="AN180" s="85"/>
      <c r="AO180" s="85"/>
      <c r="AP180" s="85"/>
      <c r="AQ180" s="85"/>
      <c r="AR180" s="85"/>
      <c r="AS180" s="85"/>
      <c r="AT180" s="85"/>
      <c r="AU180" s="85"/>
      <c r="AV180" s="85"/>
      <c r="AW180" s="85"/>
      <c r="AX180" s="85"/>
      <c r="AY180" s="85"/>
      <c r="AZ180" s="85"/>
      <c r="BA180" s="85"/>
      <c r="BB180" s="85"/>
      <c r="BC180" s="85"/>
      <c r="BD180" s="85"/>
      <c r="BE180" s="85"/>
      <c r="BF180" s="85"/>
      <c r="BG180" s="85"/>
      <c r="BH180" s="85"/>
      <c r="BI180" s="85"/>
      <c r="BJ180" s="85"/>
      <c r="BK180" s="85"/>
      <c r="BL180" s="85"/>
      <c r="BM180" s="85"/>
      <c r="BN180" s="85"/>
      <c r="BO180" s="85"/>
      <c r="BP180" s="85"/>
      <c r="BQ180" s="85"/>
      <c r="BR180" s="85"/>
      <c r="BS180" s="85"/>
      <c r="BT180" s="85"/>
      <c r="BU180" s="85"/>
      <c r="BV180" s="85"/>
      <c r="BW180" s="85"/>
      <c r="BX180" s="85"/>
      <c r="BY180" s="85"/>
      <c r="BZ180" s="85"/>
      <c r="CA180" s="85"/>
      <c r="CB180" s="85"/>
      <c r="CC180" s="85"/>
      <c r="CD180" s="85"/>
      <c r="CE180" s="85"/>
      <c r="CF180" s="85"/>
      <c r="CG180" s="85"/>
      <c r="CH180" s="85"/>
      <c r="CI180" s="85"/>
      <c r="CJ180" s="85"/>
      <c r="CK180" s="85"/>
      <c r="CL180" s="85"/>
      <c r="CM180" s="85"/>
      <c r="CN180" s="85"/>
      <c r="CO180" s="85"/>
      <c r="CP180" s="85"/>
      <c r="CQ180" s="85"/>
      <c r="CR180" s="85"/>
      <c r="CS180" s="85"/>
      <c r="CT180" s="85"/>
      <c r="CU180" s="85"/>
      <c r="CV180" s="85"/>
      <c r="CW180" s="85"/>
      <c r="CX180" s="85"/>
      <c r="CY180" s="85"/>
      <c r="CZ180" s="85"/>
      <c r="DA180" s="85"/>
      <c r="DB180" s="85"/>
      <c r="DC180" s="85"/>
      <c r="DD180" s="85"/>
      <c r="DE180" s="85"/>
      <c r="DF180" s="85"/>
      <c r="DG180" s="85"/>
      <c r="DH180" s="85"/>
      <c r="DI180" s="85"/>
      <c r="DJ180" s="85"/>
      <c r="DK180" s="85"/>
      <c r="DL180" s="85"/>
      <c r="DM180" s="85"/>
      <c r="DN180" s="85"/>
      <c r="DO180" s="85"/>
      <c r="DP180" s="85"/>
      <c r="DQ180" s="85"/>
      <c r="DR180" s="85"/>
      <c r="DS180" s="85"/>
      <c r="DT180" s="85"/>
      <c r="DU180" s="85"/>
      <c r="DV180" s="85"/>
      <c r="DW180" s="85"/>
      <c r="DX180" s="85"/>
      <c r="DY180" s="85"/>
      <c r="DZ180" s="85"/>
      <c r="EA180" s="85"/>
      <c r="EB180" s="85"/>
      <c r="EC180" s="85"/>
      <c r="ED180" s="85"/>
      <c r="EE180" s="85"/>
      <c r="EF180" s="85"/>
      <c r="EG180" s="85"/>
      <c r="EH180" s="85"/>
      <c r="EI180" s="85"/>
      <c r="EJ180" s="85"/>
      <c r="EK180" s="85"/>
      <c r="EL180" s="85"/>
      <c r="EM180" s="85"/>
      <c r="EN180" s="85"/>
      <c r="EO180" s="85"/>
      <c r="EP180" s="85"/>
      <c r="EQ180" s="85"/>
      <c r="ER180" s="85"/>
      <c r="ES180" s="85"/>
      <c r="ET180" s="85"/>
      <c r="EU180" s="85"/>
      <c r="EV180" s="85"/>
      <c r="EW180" s="85"/>
      <c r="EX180" s="85"/>
      <c r="EY180" s="85"/>
      <c r="EZ180" s="85"/>
      <c r="FA180" s="85"/>
      <c r="FB180" s="85"/>
      <c r="FC180" s="85"/>
      <c r="FD180" s="85"/>
      <c r="FE180" s="85"/>
      <c r="FF180" s="85"/>
      <c r="FG180" s="85"/>
      <c r="FH180" s="85"/>
      <c r="FI180" s="85"/>
      <c r="FJ180" s="85"/>
      <c r="FK180" s="85"/>
      <c r="FL180" s="85"/>
      <c r="FM180" s="85"/>
      <c r="FN180" s="85"/>
      <c r="FO180" s="85"/>
      <c r="FP180" s="85"/>
      <c r="FQ180" s="85"/>
      <c r="FR180" s="85"/>
      <c r="FS180" s="85"/>
      <c r="FT180" s="85"/>
      <c r="FU180" s="85"/>
      <c r="FV180" s="85"/>
      <c r="FW180" s="85"/>
      <c r="FX180" s="85"/>
      <c r="FY180" s="85"/>
      <c r="FZ180" s="85"/>
      <c r="GA180" s="85"/>
      <c r="GB180" s="85"/>
      <c r="GC180" s="85"/>
    </row>
    <row r="181" spans="1:185" x14ac:dyDescent="0.35">
      <c r="A181" s="85"/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  <c r="AL181" s="85"/>
      <c r="AM181" s="85"/>
      <c r="AN181" s="85"/>
      <c r="AO181" s="85"/>
      <c r="AP181" s="85"/>
      <c r="AQ181" s="85"/>
      <c r="AR181" s="85"/>
      <c r="AS181" s="85"/>
      <c r="AT181" s="85"/>
      <c r="AU181" s="85"/>
      <c r="AV181" s="85"/>
      <c r="AW181" s="85"/>
      <c r="AX181" s="85"/>
      <c r="AY181" s="85"/>
      <c r="AZ181" s="85"/>
      <c r="BA181" s="85"/>
      <c r="BB181" s="85"/>
      <c r="BC181" s="85"/>
      <c r="BD181" s="85"/>
      <c r="BE181" s="85"/>
      <c r="BF181" s="85"/>
      <c r="BG181" s="85"/>
      <c r="BH181" s="85"/>
      <c r="BI181" s="85"/>
      <c r="BJ181" s="85"/>
      <c r="BK181" s="85"/>
      <c r="BL181" s="85"/>
      <c r="BM181" s="85"/>
      <c r="BN181" s="85"/>
      <c r="BO181" s="85"/>
      <c r="BP181" s="85"/>
      <c r="BQ181" s="85"/>
      <c r="BR181" s="85"/>
      <c r="BS181" s="85"/>
      <c r="BT181" s="85"/>
      <c r="BU181" s="85"/>
      <c r="BV181" s="85"/>
      <c r="BW181" s="85"/>
      <c r="BX181" s="85"/>
      <c r="BY181" s="85"/>
      <c r="BZ181" s="85"/>
      <c r="CA181" s="85"/>
      <c r="CB181" s="85"/>
      <c r="CC181" s="85"/>
      <c r="CD181" s="85"/>
      <c r="CE181" s="85"/>
      <c r="CF181" s="85"/>
      <c r="CG181" s="85"/>
      <c r="CH181" s="85"/>
      <c r="CI181" s="85"/>
      <c r="CJ181" s="85"/>
      <c r="CK181" s="85"/>
      <c r="CL181" s="85"/>
      <c r="CM181" s="85"/>
      <c r="CN181" s="85"/>
      <c r="CO181" s="85"/>
      <c r="CP181" s="85"/>
      <c r="CQ181" s="85"/>
      <c r="CR181" s="85"/>
      <c r="CS181" s="85"/>
      <c r="CT181" s="85"/>
      <c r="CU181" s="85"/>
      <c r="CV181" s="85"/>
      <c r="CW181" s="85"/>
      <c r="CX181" s="85"/>
      <c r="CY181" s="85"/>
      <c r="CZ181" s="85"/>
      <c r="DA181" s="85"/>
      <c r="DB181" s="85"/>
      <c r="DC181" s="85"/>
      <c r="DD181" s="85"/>
      <c r="DE181" s="85"/>
      <c r="DF181" s="85"/>
      <c r="DG181" s="85"/>
      <c r="DH181" s="85"/>
      <c r="DI181" s="85"/>
      <c r="DJ181" s="85"/>
      <c r="DK181" s="85"/>
      <c r="DL181" s="85"/>
      <c r="DM181" s="85"/>
      <c r="DN181" s="85"/>
      <c r="DO181" s="85"/>
      <c r="DP181" s="85"/>
      <c r="DQ181" s="85"/>
      <c r="DR181" s="85"/>
      <c r="DS181" s="85"/>
      <c r="DT181" s="85"/>
      <c r="DU181" s="85"/>
      <c r="DV181" s="85"/>
      <c r="DW181" s="85"/>
      <c r="DX181" s="85"/>
      <c r="DY181" s="85"/>
      <c r="DZ181" s="85"/>
      <c r="EA181" s="85"/>
      <c r="EB181" s="85"/>
      <c r="EC181" s="85"/>
      <c r="ED181" s="85"/>
      <c r="EE181" s="85"/>
      <c r="EF181" s="85"/>
      <c r="EG181" s="85"/>
      <c r="EH181" s="85"/>
      <c r="EI181" s="85"/>
      <c r="EJ181" s="85"/>
      <c r="EK181" s="85"/>
      <c r="EL181" s="85"/>
      <c r="EM181" s="85"/>
      <c r="EN181" s="85"/>
      <c r="EO181" s="85"/>
      <c r="EP181" s="85"/>
      <c r="EQ181" s="85"/>
      <c r="ER181" s="85"/>
      <c r="ES181" s="85"/>
      <c r="ET181" s="85"/>
      <c r="EU181" s="85"/>
      <c r="EV181" s="85"/>
      <c r="EW181" s="85"/>
      <c r="EX181" s="85"/>
      <c r="EY181" s="85"/>
      <c r="EZ181" s="85"/>
      <c r="FA181" s="85"/>
      <c r="FB181" s="85"/>
      <c r="FC181" s="85"/>
      <c r="FD181" s="85"/>
      <c r="FE181" s="85"/>
      <c r="FF181" s="85"/>
      <c r="FG181" s="85"/>
      <c r="FH181" s="85"/>
      <c r="FI181" s="85"/>
      <c r="FJ181" s="85"/>
      <c r="FK181" s="85"/>
      <c r="FL181" s="85"/>
      <c r="FM181" s="85"/>
      <c r="FN181" s="85"/>
      <c r="FO181" s="85"/>
      <c r="FP181" s="85"/>
      <c r="FQ181" s="85"/>
      <c r="FR181" s="85"/>
      <c r="FS181" s="85"/>
      <c r="FT181" s="85"/>
      <c r="FU181" s="85"/>
      <c r="FV181" s="85"/>
      <c r="FW181" s="85"/>
      <c r="FX181" s="85"/>
      <c r="FY181" s="85"/>
      <c r="FZ181" s="85"/>
      <c r="GA181" s="85"/>
      <c r="GB181" s="85"/>
      <c r="GC181" s="85"/>
    </row>
    <row r="182" spans="1:185" x14ac:dyDescent="0.35">
      <c r="A182" s="85"/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  <c r="AL182" s="85"/>
      <c r="AM182" s="85"/>
      <c r="AN182" s="85"/>
      <c r="AO182" s="85"/>
      <c r="AP182" s="85"/>
      <c r="AQ182" s="85"/>
      <c r="AR182" s="85"/>
      <c r="AS182" s="85"/>
      <c r="AT182" s="85"/>
      <c r="AU182" s="85"/>
      <c r="AV182" s="85"/>
      <c r="AW182" s="85"/>
      <c r="AX182" s="85"/>
      <c r="AY182" s="85"/>
      <c r="AZ182" s="85"/>
      <c r="BA182" s="85"/>
      <c r="BB182" s="85"/>
      <c r="BC182" s="85"/>
      <c r="BD182" s="85"/>
      <c r="BE182" s="85"/>
      <c r="BF182" s="85"/>
      <c r="BG182" s="85"/>
      <c r="BH182" s="85"/>
      <c r="BI182" s="85"/>
      <c r="BJ182" s="85"/>
      <c r="BK182" s="85"/>
      <c r="BL182" s="85"/>
      <c r="BM182" s="85"/>
      <c r="BN182" s="85"/>
      <c r="BO182" s="85"/>
      <c r="BP182" s="85"/>
      <c r="BQ182" s="85"/>
      <c r="BR182" s="85"/>
      <c r="BS182" s="85"/>
      <c r="BT182" s="85"/>
      <c r="BU182" s="85"/>
      <c r="BV182" s="85"/>
      <c r="BW182" s="85"/>
      <c r="BX182" s="85"/>
      <c r="BY182" s="85"/>
      <c r="BZ182" s="85"/>
      <c r="CA182" s="85"/>
      <c r="CB182" s="85"/>
      <c r="CC182" s="85"/>
      <c r="CD182" s="85"/>
      <c r="CE182" s="85"/>
      <c r="CF182" s="85"/>
      <c r="CG182" s="85"/>
      <c r="CH182" s="85"/>
      <c r="CI182" s="85"/>
      <c r="CJ182" s="85"/>
      <c r="CK182" s="85"/>
      <c r="CL182" s="85"/>
      <c r="CM182" s="85"/>
      <c r="CN182" s="85"/>
      <c r="CO182" s="85"/>
      <c r="CP182" s="85"/>
      <c r="CQ182" s="85"/>
      <c r="CR182" s="85"/>
      <c r="CS182" s="85"/>
      <c r="CT182" s="85"/>
      <c r="CU182" s="85"/>
      <c r="CV182" s="85"/>
      <c r="CW182" s="85"/>
      <c r="CX182" s="85"/>
      <c r="CY182" s="85"/>
      <c r="CZ182" s="85"/>
      <c r="DA182" s="85"/>
      <c r="DB182" s="85"/>
      <c r="DC182" s="85"/>
      <c r="DD182" s="85"/>
      <c r="DE182" s="85"/>
      <c r="DF182" s="85"/>
      <c r="DG182" s="85"/>
      <c r="DH182" s="85"/>
      <c r="DI182" s="85"/>
      <c r="DJ182" s="85"/>
      <c r="DK182" s="85"/>
      <c r="DL182" s="85"/>
      <c r="DM182" s="85"/>
      <c r="DN182" s="85"/>
      <c r="DO182" s="85"/>
      <c r="DP182" s="85"/>
      <c r="DQ182" s="85"/>
      <c r="DR182" s="85"/>
      <c r="DS182" s="85"/>
      <c r="DT182" s="85"/>
      <c r="DU182" s="85"/>
      <c r="DV182" s="85"/>
      <c r="DW182" s="85"/>
      <c r="DX182" s="85"/>
      <c r="DY182" s="85"/>
      <c r="DZ182" s="85"/>
      <c r="EA182" s="85"/>
      <c r="EB182" s="85"/>
      <c r="EC182" s="85"/>
      <c r="ED182" s="85"/>
      <c r="EE182" s="85"/>
      <c r="EF182" s="85"/>
      <c r="EG182" s="85"/>
      <c r="EH182" s="85"/>
      <c r="EI182" s="85"/>
      <c r="EJ182" s="85"/>
      <c r="EK182" s="85"/>
      <c r="EL182" s="85"/>
      <c r="EM182" s="85"/>
      <c r="EN182" s="85"/>
      <c r="EO182" s="85"/>
      <c r="EP182" s="85"/>
      <c r="EQ182" s="85"/>
      <c r="ER182" s="85"/>
      <c r="ES182" s="85"/>
      <c r="ET182" s="85"/>
      <c r="EU182" s="85"/>
      <c r="EV182" s="85"/>
      <c r="EW182" s="85"/>
      <c r="EX182" s="85"/>
      <c r="EY182" s="85"/>
      <c r="EZ182" s="85"/>
      <c r="FA182" s="85"/>
      <c r="FB182" s="85"/>
      <c r="FC182" s="85"/>
      <c r="FD182" s="85"/>
      <c r="FE182" s="85"/>
      <c r="FF182" s="85"/>
      <c r="FG182" s="85"/>
      <c r="FH182" s="85"/>
      <c r="FI182" s="85"/>
      <c r="FJ182" s="85"/>
      <c r="FK182" s="85"/>
      <c r="FL182" s="85"/>
      <c r="FM182" s="85"/>
      <c r="FN182" s="85"/>
      <c r="FO182" s="85"/>
      <c r="FP182" s="85"/>
      <c r="FQ182" s="85"/>
      <c r="FR182" s="85"/>
      <c r="FS182" s="85"/>
      <c r="FT182" s="85"/>
      <c r="FU182" s="85"/>
      <c r="FV182" s="85"/>
      <c r="FW182" s="85"/>
      <c r="FX182" s="85"/>
      <c r="FY182" s="85"/>
      <c r="FZ182" s="85"/>
      <c r="GA182" s="85"/>
      <c r="GB182" s="85"/>
      <c r="GC182" s="85"/>
    </row>
    <row r="183" spans="1:185" x14ac:dyDescent="0.35">
      <c r="A183" s="85"/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5"/>
      <c r="AE183" s="85"/>
      <c r="AF183" s="85"/>
      <c r="AG183" s="85"/>
      <c r="AH183" s="85"/>
      <c r="AI183" s="85"/>
      <c r="AJ183" s="85"/>
      <c r="AK183" s="85"/>
      <c r="AL183" s="85"/>
      <c r="AM183" s="85"/>
      <c r="AN183" s="85"/>
      <c r="AO183" s="85"/>
      <c r="AP183" s="85"/>
      <c r="AQ183" s="85"/>
      <c r="AR183" s="85"/>
      <c r="AS183" s="85"/>
      <c r="AT183" s="85"/>
      <c r="AU183" s="85"/>
      <c r="AV183" s="85"/>
      <c r="AW183" s="85"/>
      <c r="AX183" s="85"/>
      <c r="AY183" s="85"/>
      <c r="AZ183" s="85"/>
      <c r="BA183" s="85"/>
      <c r="BB183" s="85"/>
      <c r="BC183" s="85"/>
      <c r="BD183" s="85"/>
      <c r="BE183" s="85"/>
      <c r="BF183" s="85"/>
      <c r="BG183" s="85"/>
      <c r="BH183" s="85"/>
      <c r="BI183" s="85"/>
      <c r="BJ183" s="85"/>
      <c r="BK183" s="85"/>
      <c r="BL183" s="85"/>
      <c r="BM183" s="85"/>
      <c r="BN183" s="85"/>
      <c r="BO183" s="85"/>
      <c r="BP183" s="85"/>
      <c r="BQ183" s="85"/>
      <c r="BR183" s="85"/>
      <c r="BS183" s="85"/>
      <c r="BT183" s="85"/>
      <c r="BU183" s="85"/>
      <c r="BV183" s="85"/>
      <c r="BW183" s="85"/>
      <c r="BX183" s="85"/>
      <c r="BY183" s="85"/>
      <c r="BZ183" s="85"/>
      <c r="CA183" s="85"/>
      <c r="CB183" s="85"/>
      <c r="CC183" s="85"/>
      <c r="CD183" s="85"/>
      <c r="CE183" s="85"/>
      <c r="CF183" s="85"/>
      <c r="CG183" s="85"/>
      <c r="CH183" s="85"/>
      <c r="CI183" s="85"/>
      <c r="CJ183" s="85"/>
      <c r="CK183" s="85"/>
      <c r="CL183" s="85"/>
      <c r="CM183" s="85"/>
      <c r="CN183" s="85"/>
      <c r="CO183" s="85"/>
      <c r="CP183" s="85"/>
      <c r="CQ183" s="85"/>
      <c r="CR183" s="85"/>
      <c r="CS183" s="85"/>
      <c r="CT183" s="85"/>
      <c r="CU183" s="85"/>
      <c r="CV183" s="85"/>
      <c r="CW183" s="85"/>
      <c r="CX183" s="85"/>
      <c r="CY183" s="85"/>
      <c r="CZ183" s="85"/>
      <c r="DA183" s="85"/>
      <c r="DB183" s="85"/>
      <c r="DC183" s="85"/>
      <c r="DD183" s="85"/>
      <c r="DE183" s="85"/>
      <c r="DF183" s="85"/>
      <c r="DG183" s="85"/>
      <c r="DH183" s="85"/>
      <c r="DI183" s="85"/>
      <c r="DJ183" s="85"/>
      <c r="DK183" s="85"/>
      <c r="DL183" s="85"/>
      <c r="DM183" s="85"/>
      <c r="DN183" s="85"/>
      <c r="DO183" s="85"/>
      <c r="DP183" s="85"/>
      <c r="DQ183" s="85"/>
      <c r="DR183" s="85"/>
      <c r="DS183" s="85"/>
      <c r="DT183" s="85"/>
      <c r="DU183" s="85"/>
      <c r="DV183" s="85"/>
      <c r="DW183" s="85"/>
      <c r="DX183" s="85"/>
      <c r="DY183" s="85"/>
      <c r="DZ183" s="85"/>
      <c r="EA183" s="85"/>
      <c r="EB183" s="85"/>
      <c r="EC183" s="85"/>
      <c r="ED183" s="85"/>
      <c r="EE183" s="85"/>
      <c r="EF183" s="85"/>
      <c r="EG183" s="85"/>
      <c r="EH183" s="85"/>
      <c r="EI183" s="85"/>
      <c r="EJ183" s="85"/>
      <c r="EK183" s="85"/>
      <c r="EL183" s="85"/>
      <c r="EM183" s="85"/>
      <c r="EN183" s="85"/>
      <c r="EO183" s="85"/>
      <c r="EP183" s="85"/>
      <c r="EQ183" s="85"/>
      <c r="ER183" s="85"/>
      <c r="ES183" s="85"/>
      <c r="ET183" s="85"/>
      <c r="EU183" s="85"/>
      <c r="EV183" s="85"/>
      <c r="EW183" s="85"/>
      <c r="EX183" s="85"/>
      <c r="EY183" s="85"/>
      <c r="EZ183" s="85"/>
      <c r="FA183" s="85"/>
      <c r="FB183" s="85"/>
      <c r="FC183" s="85"/>
      <c r="FD183" s="85"/>
      <c r="FE183" s="85"/>
      <c r="FF183" s="85"/>
      <c r="FG183" s="85"/>
      <c r="FH183" s="85"/>
      <c r="FI183" s="85"/>
      <c r="FJ183" s="85"/>
      <c r="FK183" s="85"/>
      <c r="FL183" s="85"/>
      <c r="FM183" s="85"/>
      <c r="FN183" s="85"/>
      <c r="FO183" s="85"/>
      <c r="FP183" s="85"/>
      <c r="FQ183" s="85"/>
      <c r="FR183" s="85"/>
      <c r="FS183" s="85"/>
      <c r="FT183" s="85"/>
      <c r="FU183" s="85"/>
      <c r="FV183" s="85"/>
      <c r="FW183" s="85"/>
      <c r="FX183" s="85"/>
      <c r="FY183" s="85"/>
      <c r="FZ183" s="85"/>
      <c r="GA183" s="85"/>
      <c r="GB183" s="85"/>
      <c r="GC183" s="85"/>
    </row>
    <row r="184" spans="1:185" x14ac:dyDescent="0.35">
      <c r="A184" s="85"/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85"/>
      <c r="AG184" s="85"/>
      <c r="AH184" s="85"/>
      <c r="AI184" s="85"/>
      <c r="AJ184" s="85"/>
      <c r="AK184" s="85"/>
      <c r="AL184" s="85"/>
      <c r="AM184" s="85"/>
      <c r="AN184" s="85"/>
      <c r="AO184" s="85"/>
      <c r="AP184" s="85"/>
      <c r="AQ184" s="85"/>
      <c r="AR184" s="85"/>
      <c r="AS184" s="85"/>
      <c r="AT184" s="85"/>
      <c r="AU184" s="85"/>
      <c r="AV184" s="85"/>
      <c r="AW184" s="85"/>
      <c r="AX184" s="85"/>
      <c r="AY184" s="85"/>
      <c r="AZ184" s="85"/>
      <c r="BA184" s="85"/>
      <c r="BB184" s="85"/>
      <c r="BC184" s="85"/>
      <c r="BD184" s="85"/>
      <c r="BE184" s="85"/>
      <c r="BF184" s="85"/>
      <c r="BG184" s="85"/>
      <c r="BH184" s="85"/>
      <c r="BI184" s="85"/>
      <c r="BJ184" s="85"/>
      <c r="BK184" s="85"/>
      <c r="BL184" s="85"/>
      <c r="BM184" s="85"/>
      <c r="BN184" s="85"/>
      <c r="BO184" s="85"/>
      <c r="BP184" s="85"/>
      <c r="BQ184" s="85"/>
      <c r="BR184" s="85"/>
      <c r="BS184" s="85"/>
      <c r="BT184" s="85"/>
      <c r="BU184" s="85"/>
      <c r="BV184" s="85"/>
      <c r="BW184" s="85"/>
      <c r="BX184" s="85"/>
      <c r="BY184" s="85"/>
      <c r="BZ184" s="85"/>
      <c r="CA184" s="85"/>
      <c r="CB184" s="85"/>
      <c r="CC184" s="85"/>
      <c r="CD184" s="85"/>
      <c r="CE184" s="85"/>
      <c r="CF184" s="85"/>
      <c r="CG184" s="85"/>
      <c r="CH184" s="85"/>
      <c r="CI184" s="85"/>
      <c r="CJ184" s="85"/>
      <c r="CK184" s="85"/>
      <c r="CL184" s="85"/>
      <c r="CM184" s="85"/>
      <c r="CN184" s="85"/>
      <c r="CO184" s="85"/>
      <c r="CP184" s="85"/>
      <c r="CQ184" s="85"/>
      <c r="CR184" s="85"/>
      <c r="CS184" s="85"/>
      <c r="CT184" s="85"/>
      <c r="CU184" s="85"/>
      <c r="CV184" s="85"/>
      <c r="CW184" s="85"/>
      <c r="CX184" s="85"/>
      <c r="CY184" s="85"/>
      <c r="CZ184" s="85"/>
      <c r="DA184" s="85"/>
      <c r="DB184" s="85"/>
      <c r="DC184" s="85"/>
      <c r="DD184" s="85"/>
      <c r="DE184" s="85"/>
      <c r="DF184" s="85"/>
      <c r="DG184" s="85"/>
      <c r="DH184" s="85"/>
      <c r="DI184" s="85"/>
      <c r="DJ184" s="85"/>
      <c r="DK184" s="85"/>
      <c r="DL184" s="85"/>
      <c r="DM184" s="85"/>
      <c r="DN184" s="85"/>
      <c r="DO184" s="85"/>
      <c r="DP184" s="85"/>
      <c r="DQ184" s="85"/>
      <c r="DR184" s="85"/>
      <c r="DS184" s="85"/>
      <c r="DT184" s="85"/>
      <c r="DU184" s="85"/>
      <c r="DV184" s="85"/>
      <c r="DW184" s="85"/>
      <c r="DX184" s="85"/>
      <c r="DY184" s="85"/>
      <c r="DZ184" s="85"/>
      <c r="EA184" s="85"/>
      <c r="EB184" s="85"/>
      <c r="EC184" s="85"/>
      <c r="ED184" s="85"/>
      <c r="EE184" s="85"/>
      <c r="EF184" s="85"/>
      <c r="EG184" s="85"/>
      <c r="EH184" s="85"/>
      <c r="EI184" s="85"/>
      <c r="EJ184" s="85"/>
      <c r="EK184" s="85"/>
      <c r="EL184" s="85"/>
      <c r="EM184" s="85"/>
      <c r="EN184" s="85"/>
      <c r="EO184" s="85"/>
      <c r="EP184" s="85"/>
      <c r="EQ184" s="85"/>
      <c r="ER184" s="85"/>
      <c r="ES184" s="85"/>
      <c r="ET184" s="85"/>
      <c r="EU184" s="85"/>
      <c r="EV184" s="85"/>
      <c r="EW184" s="85"/>
      <c r="EX184" s="85"/>
      <c r="EY184" s="85"/>
      <c r="EZ184" s="85"/>
      <c r="FA184" s="85"/>
      <c r="FB184" s="85"/>
      <c r="FC184" s="85"/>
      <c r="FD184" s="85"/>
      <c r="FE184" s="85"/>
      <c r="FF184" s="85"/>
      <c r="FG184" s="85"/>
      <c r="FH184" s="85"/>
      <c r="FI184" s="85"/>
      <c r="FJ184" s="85"/>
      <c r="FK184" s="85"/>
      <c r="FL184" s="85"/>
      <c r="FM184" s="85"/>
      <c r="FN184" s="85"/>
      <c r="FO184" s="85"/>
      <c r="FP184" s="85"/>
      <c r="FQ184" s="85"/>
      <c r="FR184" s="85"/>
      <c r="FS184" s="85"/>
      <c r="FT184" s="85"/>
      <c r="FU184" s="85"/>
      <c r="FV184" s="85"/>
      <c r="FW184" s="85"/>
      <c r="FX184" s="85"/>
      <c r="FY184" s="85"/>
      <c r="FZ184" s="85"/>
      <c r="GA184" s="85"/>
      <c r="GB184" s="85"/>
      <c r="GC184" s="85"/>
    </row>
    <row r="185" spans="1:185" x14ac:dyDescent="0.35">
      <c r="A185" s="85"/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  <c r="AB185" s="85"/>
      <c r="AC185" s="85"/>
      <c r="AD185" s="85"/>
      <c r="AE185" s="85"/>
      <c r="AF185" s="85"/>
      <c r="AG185" s="85"/>
      <c r="AH185" s="85"/>
      <c r="AI185" s="85"/>
      <c r="AJ185" s="85"/>
      <c r="AK185" s="85"/>
      <c r="AL185" s="85"/>
      <c r="AM185" s="85"/>
      <c r="AN185" s="85"/>
      <c r="AO185" s="85"/>
      <c r="AP185" s="85"/>
      <c r="AQ185" s="85"/>
      <c r="AR185" s="85"/>
      <c r="AS185" s="85"/>
      <c r="AT185" s="85"/>
      <c r="AU185" s="85"/>
      <c r="AV185" s="85"/>
      <c r="AW185" s="85"/>
      <c r="AX185" s="85"/>
      <c r="AY185" s="85"/>
      <c r="AZ185" s="85"/>
      <c r="BA185" s="85"/>
      <c r="BB185" s="85"/>
      <c r="BC185" s="85"/>
      <c r="BD185" s="85"/>
      <c r="BE185" s="85"/>
      <c r="BF185" s="85"/>
      <c r="BG185" s="85"/>
      <c r="BH185" s="85"/>
      <c r="BI185" s="85"/>
      <c r="BJ185" s="85"/>
      <c r="BK185" s="85"/>
      <c r="BL185" s="85"/>
      <c r="BM185" s="85"/>
      <c r="BN185" s="85"/>
      <c r="BO185" s="85"/>
      <c r="BP185" s="85"/>
      <c r="BQ185" s="85"/>
      <c r="BR185" s="85"/>
      <c r="BS185" s="85"/>
      <c r="BT185" s="85"/>
      <c r="BU185" s="85"/>
      <c r="BV185" s="85"/>
      <c r="BW185" s="85"/>
      <c r="BX185" s="85"/>
      <c r="BY185" s="85"/>
      <c r="BZ185" s="85"/>
      <c r="CA185" s="85"/>
      <c r="CB185" s="85"/>
      <c r="CC185" s="85"/>
      <c r="CD185" s="85"/>
      <c r="CE185" s="85"/>
      <c r="CF185" s="85"/>
      <c r="CG185" s="85"/>
      <c r="CH185" s="85"/>
      <c r="CI185" s="85"/>
      <c r="CJ185" s="85"/>
      <c r="CK185" s="85"/>
      <c r="CL185" s="85"/>
      <c r="CM185" s="85"/>
      <c r="CN185" s="85"/>
      <c r="CO185" s="85"/>
      <c r="CP185" s="85"/>
      <c r="CQ185" s="85"/>
      <c r="CR185" s="85"/>
      <c r="CS185" s="85"/>
      <c r="CT185" s="85"/>
      <c r="CU185" s="85"/>
      <c r="CV185" s="85"/>
      <c r="CW185" s="85"/>
      <c r="CX185" s="85"/>
      <c r="CY185" s="85"/>
      <c r="CZ185" s="85"/>
      <c r="DA185" s="85"/>
      <c r="DB185" s="85"/>
      <c r="DC185" s="85"/>
      <c r="DD185" s="85"/>
      <c r="DE185" s="85"/>
      <c r="DF185" s="85"/>
      <c r="DG185" s="85"/>
      <c r="DH185" s="85"/>
      <c r="DI185" s="85"/>
      <c r="DJ185" s="85"/>
      <c r="DK185" s="85"/>
      <c r="DL185" s="85"/>
      <c r="DM185" s="85"/>
      <c r="DN185" s="85"/>
      <c r="DO185" s="85"/>
      <c r="DP185" s="85"/>
      <c r="DQ185" s="85"/>
      <c r="DR185" s="85"/>
      <c r="DS185" s="85"/>
      <c r="DT185" s="85"/>
      <c r="DU185" s="85"/>
      <c r="DV185" s="85"/>
      <c r="DW185" s="85"/>
      <c r="DX185" s="85"/>
      <c r="DY185" s="85"/>
      <c r="DZ185" s="85"/>
      <c r="EA185" s="85"/>
      <c r="EB185" s="85"/>
      <c r="EC185" s="85"/>
      <c r="ED185" s="85"/>
      <c r="EE185" s="85"/>
      <c r="EF185" s="85"/>
      <c r="EG185" s="85"/>
      <c r="EH185" s="85"/>
      <c r="EI185" s="85"/>
      <c r="EJ185" s="85"/>
      <c r="EK185" s="85"/>
      <c r="EL185" s="85"/>
      <c r="EM185" s="85"/>
      <c r="EN185" s="85"/>
      <c r="EO185" s="85"/>
      <c r="EP185" s="85"/>
      <c r="EQ185" s="85"/>
      <c r="ER185" s="85"/>
      <c r="ES185" s="85"/>
      <c r="ET185" s="85"/>
      <c r="EU185" s="85"/>
      <c r="EV185" s="85"/>
      <c r="EW185" s="85"/>
      <c r="EX185" s="85"/>
      <c r="EY185" s="85"/>
      <c r="EZ185" s="85"/>
      <c r="FA185" s="85"/>
      <c r="FB185" s="85"/>
      <c r="FC185" s="85"/>
      <c r="FD185" s="85"/>
      <c r="FE185" s="85"/>
      <c r="FF185" s="85"/>
      <c r="FG185" s="85"/>
      <c r="FH185" s="85"/>
      <c r="FI185" s="85"/>
      <c r="FJ185" s="85"/>
      <c r="FK185" s="85"/>
      <c r="FL185" s="85"/>
      <c r="FM185" s="85"/>
      <c r="FN185" s="85"/>
      <c r="FO185" s="85"/>
      <c r="FP185" s="85"/>
      <c r="FQ185" s="85"/>
      <c r="FR185" s="85"/>
      <c r="FS185" s="85"/>
      <c r="FT185" s="85"/>
      <c r="FU185" s="85"/>
      <c r="FV185" s="85"/>
      <c r="FW185" s="85"/>
      <c r="FX185" s="85"/>
      <c r="FY185" s="85"/>
      <c r="FZ185" s="85"/>
      <c r="GA185" s="85"/>
      <c r="GB185" s="85"/>
      <c r="GC185" s="85"/>
    </row>
    <row r="186" spans="1:185" x14ac:dyDescent="0.35">
      <c r="A186" s="85"/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  <c r="AB186" s="85"/>
      <c r="AC186" s="85"/>
      <c r="AD186" s="85"/>
      <c r="AE186" s="85"/>
      <c r="AF186" s="85"/>
      <c r="AG186" s="85"/>
      <c r="AH186" s="85"/>
      <c r="AI186" s="85"/>
      <c r="AJ186" s="85"/>
      <c r="AK186" s="85"/>
      <c r="AL186" s="85"/>
      <c r="AM186" s="85"/>
      <c r="AN186" s="85"/>
      <c r="AO186" s="85"/>
      <c r="AP186" s="85"/>
      <c r="AQ186" s="85"/>
      <c r="AR186" s="85"/>
      <c r="AS186" s="85"/>
      <c r="AT186" s="85"/>
      <c r="AU186" s="85"/>
      <c r="AV186" s="85"/>
      <c r="AW186" s="85"/>
      <c r="AX186" s="85"/>
      <c r="AY186" s="85"/>
      <c r="AZ186" s="85"/>
      <c r="BA186" s="85"/>
      <c r="BB186" s="85"/>
      <c r="BC186" s="85"/>
      <c r="BD186" s="85"/>
      <c r="BE186" s="85"/>
      <c r="BF186" s="85"/>
      <c r="BG186" s="85"/>
      <c r="BH186" s="85"/>
      <c r="BI186" s="85"/>
      <c r="BJ186" s="85"/>
      <c r="BK186" s="85"/>
      <c r="BL186" s="85"/>
      <c r="BM186" s="85"/>
      <c r="BN186" s="85"/>
      <c r="BO186" s="85"/>
      <c r="BP186" s="85"/>
      <c r="BQ186" s="85"/>
      <c r="BR186" s="85"/>
      <c r="BS186" s="85"/>
      <c r="BT186" s="85"/>
      <c r="BU186" s="85"/>
      <c r="BV186" s="85"/>
      <c r="BW186" s="85"/>
      <c r="BX186" s="85"/>
      <c r="BY186" s="85"/>
      <c r="BZ186" s="85"/>
      <c r="CA186" s="85"/>
      <c r="CB186" s="85"/>
      <c r="CC186" s="85"/>
      <c r="CD186" s="85"/>
      <c r="CE186" s="85"/>
      <c r="CF186" s="85"/>
      <c r="CG186" s="85"/>
      <c r="CH186" s="85"/>
      <c r="CI186" s="85"/>
      <c r="CJ186" s="85"/>
      <c r="CK186" s="85"/>
      <c r="CL186" s="85"/>
      <c r="CM186" s="85"/>
      <c r="CN186" s="85"/>
      <c r="CO186" s="85"/>
      <c r="CP186" s="85"/>
      <c r="CQ186" s="85"/>
      <c r="CR186" s="85"/>
      <c r="CS186" s="85"/>
      <c r="CT186" s="85"/>
      <c r="CU186" s="85"/>
      <c r="CV186" s="85"/>
      <c r="CW186" s="85"/>
      <c r="CX186" s="85"/>
      <c r="CY186" s="85"/>
      <c r="CZ186" s="85"/>
      <c r="DA186" s="85"/>
      <c r="DB186" s="85"/>
      <c r="DC186" s="85"/>
      <c r="DD186" s="85"/>
      <c r="DE186" s="85"/>
      <c r="DF186" s="85"/>
      <c r="DG186" s="85"/>
      <c r="DH186" s="85"/>
      <c r="DI186" s="85"/>
      <c r="DJ186" s="85"/>
      <c r="DK186" s="85"/>
      <c r="DL186" s="85"/>
      <c r="DM186" s="85"/>
      <c r="DN186" s="85"/>
      <c r="DO186" s="85"/>
      <c r="DP186" s="85"/>
      <c r="DQ186" s="85"/>
      <c r="DR186" s="85"/>
      <c r="DS186" s="85"/>
      <c r="DT186" s="85"/>
      <c r="DU186" s="85"/>
      <c r="DV186" s="85"/>
      <c r="DW186" s="85"/>
      <c r="DX186" s="85"/>
      <c r="DY186" s="85"/>
      <c r="DZ186" s="85"/>
      <c r="EA186" s="85"/>
      <c r="EB186" s="85"/>
      <c r="EC186" s="85"/>
      <c r="ED186" s="85"/>
      <c r="EE186" s="85"/>
      <c r="EF186" s="85"/>
      <c r="EG186" s="85"/>
      <c r="EH186" s="85"/>
      <c r="EI186" s="85"/>
      <c r="EJ186" s="85"/>
      <c r="EK186" s="85"/>
      <c r="EL186" s="85"/>
      <c r="EM186" s="85"/>
      <c r="EN186" s="85"/>
      <c r="EO186" s="85"/>
      <c r="EP186" s="85"/>
      <c r="EQ186" s="85"/>
      <c r="ER186" s="85"/>
      <c r="ES186" s="85"/>
      <c r="ET186" s="85"/>
      <c r="EU186" s="85"/>
      <c r="EV186" s="85"/>
      <c r="EW186" s="85"/>
      <c r="EX186" s="85"/>
      <c r="EY186" s="85"/>
      <c r="EZ186" s="85"/>
      <c r="FA186" s="85"/>
      <c r="FB186" s="85"/>
      <c r="FC186" s="85"/>
      <c r="FD186" s="85"/>
      <c r="FE186" s="85"/>
      <c r="FF186" s="85"/>
      <c r="FG186" s="85"/>
      <c r="FH186" s="85"/>
      <c r="FI186" s="85"/>
      <c r="FJ186" s="85"/>
      <c r="FK186" s="85"/>
      <c r="FL186" s="85"/>
      <c r="FM186" s="85"/>
      <c r="FN186" s="85"/>
      <c r="FO186" s="85"/>
      <c r="FP186" s="85"/>
      <c r="FQ186" s="85"/>
      <c r="FR186" s="85"/>
      <c r="FS186" s="85"/>
      <c r="FT186" s="85"/>
      <c r="FU186" s="85"/>
      <c r="FV186" s="85"/>
      <c r="FW186" s="85"/>
      <c r="FX186" s="85"/>
      <c r="FY186" s="85"/>
      <c r="FZ186" s="85"/>
      <c r="GA186" s="85"/>
      <c r="GB186" s="85"/>
      <c r="GC186" s="85"/>
    </row>
    <row r="187" spans="1:185" x14ac:dyDescent="0.35">
      <c r="A187" s="85"/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  <c r="AB187" s="85"/>
      <c r="AC187" s="85"/>
      <c r="AD187" s="85"/>
      <c r="AE187" s="85"/>
      <c r="AF187" s="85"/>
      <c r="AG187" s="85"/>
      <c r="AH187" s="85"/>
      <c r="AI187" s="85"/>
      <c r="AJ187" s="85"/>
      <c r="AK187" s="85"/>
      <c r="AL187" s="85"/>
      <c r="AM187" s="85"/>
      <c r="AN187" s="85"/>
      <c r="AO187" s="85"/>
      <c r="AP187" s="85"/>
      <c r="AQ187" s="85"/>
      <c r="AR187" s="85"/>
      <c r="AS187" s="85"/>
      <c r="AT187" s="85"/>
      <c r="AU187" s="85"/>
      <c r="AV187" s="85"/>
      <c r="AW187" s="85"/>
      <c r="AX187" s="85"/>
      <c r="AY187" s="85"/>
      <c r="AZ187" s="85"/>
      <c r="BA187" s="85"/>
      <c r="BB187" s="85"/>
      <c r="BC187" s="85"/>
      <c r="BD187" s="85"/>
      <c r="BE187" s="85"/>
      <c r="BF187" s="85"/>
      <c r="BG187" s="85"/>
      <c r="BH187" s="85"/>
      <c r="BI187" s="85"/>
      <c r="BJ187" s="85"/>
      <c r="BK187" s="85"/>
      <c r="BL187" s="85"/>
      <c r="BM187" s="85"/>
      <c r="BN187" s="85"/>
      <c r="BO187" s="85"/>
      <c r="BP187" s="85"/>
      <c r="BQ187" s="85"/>
      <c r="BR187" s="85"/>
      <c r="BS187" s="85"/>
      <c r="BT187" s="85"/>
      <c r="BU187" s="85"/>
      <c r="BV187" s="85"/>
      <c r="BW187" s="85"/>
      <c r="BX187" s="85"/>
      <c r="BY187" s="85"/>
      <c r="BZ187" s="85"/>
      <c r="CA187" s="85"/>
      <c r="CB187" s="85"/>
      <c r="CC187" s="85"/>
      <c r="CD187" s="85"/>
      <c r="CE187" s="85"/>
      <c r="CF187" s="85"/>
      <c r="CG187" s="85"/>
      <c r="CH187" s="85"/>
      <c r="CI187" s="85"/>
      <c r="CJ187" s="85"/>
      <c r="CK187" s="85"/>
      <c r="CL187" s="85"/>
      <c r="CM187" s="85"/>
      <c r="CN187" s="85"/>
      <c r="CO187" s="85"/>
      <c r="CP187" s="85"/>
      <c r="CQ187" s="85"/>
      <c r="CR187" s="85"/>
      <c r="CS187" s="85"/>
      <c r="CT187" s="85"/>
      <c r="CU187" s="85"/>
      <c r="CV187" s="85"/>
      <c r="CW187" s="85"/>
      <c r="CX187" s="85"/>
      <c r="CY187" s="85"/>
      <c r="CZ187" s="85"/>
      <c r="DA187" s="85"/>
      <c r="DB187" s="85"/>
      <c r="DC187" s="85"/>
      <c r="DD187" s="85"/>
      <c r="DE187" s="85"/>
      <c r="DF187" s="85"/>
      <c r="DG187" s="85"/>
      <c r="DH187" s="85"/>
      <c r="DI187" s="85"/>
      <c r="DJ187" s="85"/>
      <c r="DK187" s="85"/>
      <c r="DL187" s="85"/>
      <c r="DM187" s="85"/>
      <c r="DN187" s="85"/>
      <c r="DO187" s="85"/>
      <c r="DP187" s="85"/>
      <c r="DQ187" s="85"/>
      <c r="DR187" s="85"/>
      <c r="DS187" s="85"/>
      <c r="DT187" s="85"/>
      <c r="DU187" s="85"/>
      <c r="DV187" s="85"/>
      <c r="DW187" s="85"/>
      <c r="DX187" s="85"/>
      <c r="DY187" s="85"/>
      <c r="DZ187" s="85"/>
      <c r="EA187" s="85"/>
      <c r="EB187" s="85"/>
      <c r="EC187" s="85"/>
      <c r="ED187" s="85"/>
      <c r="EE187" s="85"/>
      <c r="EF187" s="85"/>
      <c r="EG187" s="85"/>
      <c r="EH187" s="85"/>
      <c r="EI187" s="85"/>
      <c r="EJ187" s="85"/>
      <c r="EK187" s="85"/>
      <c r="EL187" s="85"/>
      <c r="EM187" s="85"/>
      <c r="EN187" s="85"/>
      <c r="EO187" s="85"/>
      <c r="EP187" s="85"/>
      <c r="EQ187" s="85"/>
      <c r="ER187" s="85"/>
      <c r="ES187" s="85"/>
      <c r="ET187" s="85"/>
      <c r="EU187" s="85"/>
      <c r="EV187" s="85"/>
      <c r="EW187" s="85"/>
      <c r="EX187" s="85"/>
      <c r="EY187" s="85"/>
      <c r="EZ187" s="85"/>
      <c r="FA187" s="85"/>
      <c r="FB187" s="85"/>
      <c r="FC187" s="85"/>
      <c r="FD187" s="85"/>
      <c r="FE187" s="85"/>
      <c r="FF187" s="85"/>
      <c r="FG187" s="85"/>
      <c r="FH187" s="85"/>
      <c r="FI187" s="85"/>
      <c r="FJ187" s="85"/>
      <c r="FK187" s="85"/>
      <c r="FL187" s="85"/>
      <c r="FM187" s="85"/>
      <c r="FN187" s="85"/>
      <c r="FO187" s="85"/>
      <c r="FP187" s="85"/>
      <c r="FQ187" s="85"/>
      <c r="FR187" s="85"/>
      <c r="FS187" s="85"/>
      <c r="FT187" s="85"/>
      <c r="FU187" s="85"/>
      <c r="FV187" s="85"/>
      <c r="FW187" s="85"/>
      <c r="FX187" s="85"/>
      <c r="FY187" s="85"/>
      <c r="FZ187" s="85"/>
      <c r="GA187" s="85"/>
      <c r="GB187" s="85"/>
      <c r="GC187" s="85"/>
    </row>
    <row r="188" spans="1:185" x14ac:dyDescent="0.35">
      <c r="A188" s="85"/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F188" s="85"/>
      <c r="AG188" s="85"/>
      <c r="AH188" s="85"/>
      <c r="AI188" s="85"/>
      <c r="AJ188" s="85"/>
      <c r="AK188" s="85"/>
      <c r="AL188" s="85"/>
      <c r="AM188" s="85"/>
      <c r="AN188" s="85"/>
      <c r="AO188" s="85"/>
      <c r="AP188" s="85"/>
      <c r="AQ188" s="85"/>
      <c r="AR188" s="85"/>
      <c r="AS188" s="85"/>
      <c r="AT188" s="85"/>
      <c r="AU188" s="85"/>
      <c r="AV188" s="85"/>
      <c r="AW188" s="85"/>
      <c r="AX188" s="85"/>
      <c r="AY188" s="85"/>
      <c r="AZ188" s="85"/>
      <c r="BA188" s="85"/>
      <c r="BB188" s="85"/>
      <c r="BC188" s="85"/>
      <c r="BD188" s="85"/>
      <c r="BE188" s="85"/>
      <c r="BF188" s="85"/>
      <c r="BG188" s="85"/>
      <c r="BH188" s="85"/>
      <c r="BI188" s="85"/>
      <c r="BJ188" s="85"/>
      <c r="BK188" s="85"/>
      <c r="BL188" s="85"/>
      <c r="BM188" s="85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  <c r="DF188" s="85"/>
      <c r="DG188" s="85"/>
      <c r="DH188" s="85"/>
      <c r="DI188" s="85"/>
      <c r="DJ188" s="85"/>
      <c r="DK188" s="85"/>
      <c r="DL188" s="85"/>
      <c r="DM188" s="85"/>
      <c r="DN188" s="85"/>
      <c r="DO188" s="85"/>
      <c r="DP188" s="85"/>
      <c r="DQ188" s="85"/>
      <c r="DR188" s="85"/>
      <c r="DS188" s="85"/>
      <c r="DT188" s="85"/>
      <c r="DU188" s="85"/>
      <c r="DV188" s="85"/>
      <c r="DW188" s="85"/>
      <c r="DX188" s="85"/>
      <c r="DY188" s="85"/>
      <c r="DZ188" s="85"/>
      <c r="EA188" s="85"/>
      <c r="EB188" s="85"/>
      <c r="EC188" s="85"/>
      <c r="ED188" s="85"/>
      <c r="EE188" s="85"/>
      <c r="EF188" s="85"/>
      <c r="EG188" s="85"/>
      <c r="EH188" s="85"/>
      <c r="EI188" s="85"/>
      <c r="EJ188" s="85"/>
      <c r="EK188" s="85"/>
      <c r="EL188" s="85"/>
      <c r="EM188" s="85"/>
      <c r="EN188" s="85"/>
      <c r="EO188" s="85"/>
      <c r="EP188" s="85"/>
      <c r="EQ188" s="85"/>
      <c r="ER188" s="85"/>
      <c r="ES188" s="85"/>
      <c r="ET188" s="85"/>
      <c r="EU188" s="85"/>
      <c r="EV188" s="85"/>
      <c r="EW188" s="85"/>
      <c r="EX188" s="85"/>
      <c r="EY188" s="85"/>
      <c r="EZ188" s="85"/>
      <c r="FA188" s="85"/>
      <c r="FB188" s="85"/>
      <c r="FC188" s="85"/>
      <c r="FD188" s="85"/>
      <c r="FE188" s="85"/>
      <c r="FF188" s="85"/>
      <c r="FG188" s="85"/>
      <c r="FH188" s="85"/>
      <c r="FI188" s="85"/>
      <c r="FJ188" s="85"/>
      <c r="FK188" s="85"/>
      <c r="FL188" s="85"/>
      <c r="FM188" s="85"/>
      <c r="FN188" s="85"/>
      <c r="FO188" s="85"/>
      <c r="FP188" s="85"/>
      <c r="FQ188" s="85"/>
      <c r="FR188" s="85"/>
      <c r="FS188" s="85"/>
      <c r="FT188" s="85"/>
      <c r="FU188" s="85"/>
      <c r="FV188" s="85"/>
      <c r="FW188" s="85"/>
      <c r="FX188" s="85"/>
      <c r="FY188" s="85"/>
      <c r="FZ188" s="85"/>
      <c r="GA188" s="85"/>
      <c r="GB188" s="85"/>
      <c r="GC188" s="85"/>
    </row>
    <row r="189" spans="1:185" x14ac:dyDescent="0.35">
      <c r="A189" s="85"/>
      <c r="B189" s="85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5"/>
      <c r="AE189" s="85"/>
      <c r="AF189" s="85"/>
      <c r="AG189" s="85"/>
      <c r="AH189" s="85"/>
      <c r="AI189" s="85"/>
      <c r="AJ189" s="85"/>
      <c r="AK189" s="85"/>
      <c r="AL189" s="85"/>
      <c r="AM189" s="85"/>
      <c r="AN189" s="85"/>
      <c r="AO189" s="85"/>
      <c r="AP189" s="85"/>
      <c r="AQ189" s="85"/>
      <c r="AR189" s="85"/>
      <c r="AS189" s="85"/>
      <c r="AT189" s="85"/>
      <c r="AU189" s="85"/>
      <c r="AV189" s="85"/>
      <c r="AW189" s="85"/>
      <c r="AX189" s="85"/>
      <c r="AY189" s="85"/>
      <c r="AZ189" s="85"/>
      <c r="BA189" s="85"/>
      <c r="BB189" s="85"/>
      <c r="BC189" s="85"/>
      <c r="BD189" s="85"/>
      <c r="BE189" s="85"/>
      <c r="BF189" s="85"/>
      <c r="BG189" s="85"/>
      <c r="BH189" s="85"/>
      <c r="BI189" s="85"/>
      <c r="BJ189" s="85"/>
      <c r="BK189" s="85"/>
      <c r="BL189" s="85"/>
      <c r="BM189" s="85"/>
      <c r="BN189" s="85"/>
      <c r="BO189" s="85"/>
      <c r="BP189" s="85"/>
      <c r="BQ189" s="85"/>
      <c r="BR189" s="85"/>
      <c r="BS189" s="85"/>
      <c r="BT189" s="85"/>
      <c r="BU189" s="85"/>
      <c r="BV189" s="85"/>
      <c r="BW189" s="85"/>
      <c r="BX189" s="85"/>
      <c r="BY189" s="85"/>
      <c r="BZ189" s="85"/>
      <c r="CA189" s="85"/>
      <c r="CB189" s="85"/>
      <c r="CC189" s="85"/>
      <c r="CD189" s="85"/>
      <c r="CE189" s="85"/>
      <c r="CF189" s="85"/>
      <c r="CG189" s="85"/>
      <c r="CH189" s="85"/>
      <c r="CI189" s="85"/>
      <c r="CJ189" s="85"/>
      <c r="CK189" s="85"/>
      <c r="CL189" s="85"/>
      <c r="CM189" s="85"/>
      <c r="CN189" s="85"/>
      <c r="CO189" s="85"/>
      <c r="CP189" s="85"/>
      <c r="CQ189" s="85"/>
      <c r="CR189" s="85"/>
      <c r="CS189" s="85"/>
      <c r="CT189" s="85"/>
      <c r="CU189" s="85"/>
      <c r="CV189" s="85"/>
      <c r="CW189" s="85"/>
      <c r="CX189" s="85"/>
      <c r="CY189" s="85"/>
      <c r="CZ189" s="85"/>
      <c r="DA189" s="85"/>
      <c r="DB189" s="85"/>
      <c r="DC189" s="85"/>
      <c r="DD189" s="85"/>
      <c r="DE189" s="85"/>
      <c r="DF189" s="85"/>
      <c r="DG189" s="85"/>
      <c r="DH189" s="85"/>
      <c r="DI189" s="85"/>
      <c r="DJ189" s="85"/>
      <c r="DK189" s="85"/>
      <c r="DL189" s="85"/>
      <c r="DM189" s="85"/>
      <c r="DN189" s="85"/>
      <c r="DO189" s="85"/>
      <c r="DP189" s="85"/>
      <c r="DQ189" s="85"/>
      <c r="DR189" s="85"/>
      <c r="DS189" s="85"/>
      <c r="DT189" s="85"/>
      <c r="DU189" s="85"/>
      <c r="DV189" s="85"/>
      <c r="DW189" s="85"/>
      <c r="DX189" s="85"/>
      <c r="DY189" s="85"/>
      <c r="DZ189" s="85"/>
      <c r="EA189" s="85"/>
      <c r="EB189" s="85"/>
      <c r="EC189" s="85"/>
      <c r="ED189" s="85"/>
      <c r="EE189" s="85"/>
      <c r="EF189" s="85"/>
      <c r="EG189" s="85"/>
      <c r="EH189" s="85"/>
      <c r="EI189" s="85"/>
      <c r="EJ189" s="85"/>
      <c r="EK189" s="85"/>
      <c r="EL189" s="85"/>
      <c r="EM189" s="85"/>
      <c r="EN189" s="85"/>
      <c r="EO189" s="85"/>
      <c r="EP189" s="85"/>
      <c r="EQ189" s="85"/>
      <c r="ER189" s="85"/>
      <c r="ES189" s="85"/>
      <c r="ET189" s="85"/>
      <c r="EU189" s="85"/>
      <c r="EV189" s="85"/>
      <c r="EW189" s="85"/>
      <c r="EX189" s="85"/>
      <c r="EY189" s="85"/>
      <c r="EZ189" s="85"/>
      <c r="FA189" s="85"/>
      <c r="FB189" s="85"/>
      <c r="FC189" s="85"/>
      <c r="FD189" s="85"/>
      <c r="FE189" s="85"/>
      <c r="FF189" s="85"/>
      <c r="FG189" s="85"/>
      <c r="FH189" s="85"/>
      <c r="FI189" s="85"/>
      <c r="FJ189" s="85"/>
      <c r="FK189" s="85"/>
      <c r="FL189" s="85"/>
      <c r="FM189" s="85"/>
      <c r="FN189" s="85"/>
      <c r="FO189" s="85"/>
      <c r="FP189" s="85"/>
      <c r="FQ189" s="85"/>
      <c r="FR189" s="85"/>
      <c r="FS189" s="85"/>
      <c r="FT189" s="85"/>
      <c r="FU189" s="85"/>
      <c r="FV189" s="85"/>
      <c r="FW189" s="85"/>
      <c r="FX189" s="85"/>
      <c r="FY189" s="85"/>
      <c r="FZ189" s="85"/>
      <c r="GA189" s="85"/>
      <c r="GB189" s="85"/>
      <c r="GC189" s="85"/>
    </row>
    <row r="190" spans="1:185" x14ac:dyDescent="0.35">
      <c r="A190" s="85"/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F190" s="85"/>
      <c r="AG190" s="85"/>
      <c r="AH190" s="85"/>
      <c r="AI190" s="85"/>
      <c r="AJ190" s="85"/>
      <c r="AK190" s="85"/>
      <c r="AL190" s="85"/>
      <c r="AM190" s="85"/>
      <c r="AN190" s="85"/>
      <c r="AO190" s="85"/>
      <c r="AP190" s="85"/>
      <c r="AQ190" s="85"/>
      <c r="AR190" s="85"/>
      <c r="AS190" s="85"/>
      <c r="AT190" s="85"/>
      <c r="AU190" s="85"/>
      <c r="AV190" s="85"/>
      <c r="AW190" s="85"/>
      <c r="AX190" s="85"/>
      <c r="AY190" s="85"/>
      <c r="AZ190" s="85"/>
      <c r="BA190" s="85"/>
      <c r="BB190" s="85"/>
      <c r="BC190" s="85"/>
      <c r="BD190" s="85"/>
      <c r="BE190" s="85"/>
      <c r="BF190" s="85"/>
      <c r="BG190" s="85"/>
      <c r="BH190" s="85"/>
      <c r="BI190" s="85"/>
      <c r="BJ190" s="85"/>
      <c r="BK190" s="85"/>
      <c r="BL190" s="85"/>
      <c r="BM190" s="85"/>
      <c r="BN190" s="85"/>
      <c r="BO190" s="85"/>
      <c r="BP190" s="85"/>
      <c r="BQ190" s="85"/>
      <c r="BR190" s="85"/>
      <c r="BS190" s="85"/>
      <c r="BT190" s="85"/>
      <c r="BU190" s="85"/>
      <c r="BV190" s="85"/>
      <c r="BW190" s="85"/>
      <c r="BX190" s="85"/>
      <c r="BY190" s="85"/>
      <c r="BZ190" s="85"/>
      <c r="CA190" s="85"/>
      <c r="CB190" s="85"/>
      <c r="CC190" s="85"/>
      <c r="CD190" s="85"/>
      <c r="CE190" s="85"/>
      <c r="CF190" s="85"/>
      <c r="CG190" s="85"/>
      <c r="CH190" s="85"/>
      <c r="CI190" s="85"/>
      <c r="CJ190" s="85"/>
      <c r="CK190" s="85"/>
      <c r="CL190" s="85"/>
      <c r="CM190" s="85"/>
      <c r="CN190" s="85"/>
      <c r="CO190" s="85"/>
      <c r="CP190" s="85"/>
      <c r="CQ190" s="85"/>
      <c r="CR190" s="85"/>
      <c r="CS190" s="85"/>
      <c r="CT190" s="85"/>
      <c r="CU190" s="85"/>
      <c r="CV190" s="85"/>
      <c r="CW190" s="85"/>
      <c r="CX190" s="85"/>
      <c r="CY190" s="85"/>
      <c r="CZ190" s="85"/>
      <c r="DA190" s="85"/>
      <c r="DB190" s="85"/>
      <c r="DC190" s="85"/>
      <c r="DD190" s="85"/>
      <c r="DE190" s="85"/>
      <c r="DF190" s="85"/>
      <c r="DG190" s="85"/>
      <c r="DH190" s="85"/>
      <c r="DI190" s="85"/>
      <c r="DJ190" s="85"/>
      <c r="DK190" s="85"/>
      <c r="DL190" s="85"/>
      <c r="DM190" s="85"/>
      <c r="DN190" s="85"/>
      <c r="DO190" s="85"/>
      <c r="DP190" s="85"/>
      <c r="DQ190" s="85"/>
      <c r="DR190" s="85"/>
      <c r="DS190" s="85"/>
      <c r="DT190" s="85"/>
      <c r="DU190" s="85"/>
      <c r="DV190" s="85"/>
      <c r="DW190" s="85"/>
      <c r="DX190" s="85"/>
      <c r="DY190" s="85"/>
      <c r="DZ190" s="85"/>
      <c r="EA190" s="85"/>
      <c r="EB190" s="85"/>
      <c r="EC190" s="85"/>
      <c r="ED190" s="85"/>
      <c r="EE190" s="85"/>
      <c r="EF190" s="85"/>
      <c r="EG190" s="85"/>
      <c r="EH190" s="85"/>
      <c r="EI190" s="85"/>
      <c r="EJ190" s="85"/>
      <c r="EK190" s="85"/>
      <c r="EL190" s="85"/>
      <c r="EM190" s="85"/>
      <c r="EN190" s="85"/>
      <c r="EO190" s="85"/>
      <c r="EP190" s="85"/>
      <c r="EQ190" s="85"/>
      <c r="ER190" s="85"/>
      <c r="ES190" s="85"/>
      <c r="ET190" s="85"/>
      <c r="EU190" s="85"/>
      <c r="EV190" s="85"/>
      <c r="EW190" s="85"/>
      <c r="EX190" s="85"/>
      <c r="EY190" s="85"/>
      <c r="EZ190" s="85"/>
      <c r="FA190" s="85"/>
      <c r="FB190" s="85"/>
      <c r="FC190" s="85"/>
      <c r="FD190" s="85"/>
      <c r="FE190" s="85"/>
      <c r="FF190" s="85"/>
      <c r="FG190" s="85"/>
      <c r="FH190" s="85"/>
      <c r="FI190" s="85"/>
      <c r="FJ190" s="85"/>
      <c r="FK190" s="85"/>
      <c r="FL190" s="85"/>
      <c r="FM190" s="85"/>
      <c r="FN190" s="85"/>
      <c r="FO190" s="85"/>
      <c r="FP190" s="85"/>
      <c r="FQ190" s="85"/>
      <c r="FR190" s="85"/>
      <c r="FS190" s="85"/>
      <c r="FT190" s="85"/>
      <c r="FU190" s="85"/>
      <c r="FV190" s="85"/>
      <c r="FW190" s="85"/>
      <c r="FX190" s="85"/>
      <c r="FY190" s="85"/>
      <c r="FZ190" s="85"/>
      <c r="GA190" s="85"/>
      <c r="GB190" s="85"/>
      <c r="GC190" s="85"/>
    </row>
    <row r="191" spans="1:185" x14ac:dyDescent="0.35">
      <c r="A191" s="85"/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5"/>
      <c r="AE191" s="85"/>
      <c r="AF191" s="85"/>
      <c r="AG191" s="85"/>
      <c r="AH191" s="85"/>
      <c r="AI191" s="85"/>
      <c r="AJ191" s="85"/>
      <c r="AK191" s="85"/>
      <c r="AL191" s="85"/>
      <c r="AM191" s="85"/>
      <c r="AN191" s="85"/>
      <c r="AO191" s="85"/>
      <c r="AP191" s="85"/>
      <c r="AQ191" s="85"/>
      <c r="AR191" s="85"/>
      <c r="AS191" s="85"/>
      <c r="AT191" s="85"/>
      <c r="AU191" s="85"/>
      <c r="AV191" s="85"/>
      <c r="AW191" s="85"/>
      <c r="AX191" s="85"/>
      <c r="AY191" s="85"/>
      <c r="AZ191" s="85"/>
      <c r="BA191" s="85"/>
      <c r="BB191" s="85"/>
      <c r="BC191" s="85"/>
      <c r="BD191" s="85"/>
      <c r="BE191" s="85"/>
      <c r="BF191" s="85"/>
      <c r="BG191" s="85"/>
      <c r="BH191" s="85"/>
      <c r="BI191" s="85"/>
      <c r="BJ191" s="85"/>
      <c r="BK191" s="85"/>
      <c r="BL191" s="85"/>
      <c r="BM191" s="85"/>
      <c r="BN191" s="85"/>
      <c r="BO191" s="85"/>
      <c r="BP191" s="85"/>
      <c r="BQ191" s="85"/>
      <c r="BR191" s="85"/>
      <c r="BS191" s="85"/>
      <c r="BT191" s="85"/>
      <c r="BU191" s="85"/>
      <c r="BV191" s="85"/>
      <c r="BW191" s="85"/>
      <c r="BX191" s="85"/>
      <c r="BY191" s="85"/>
      <c r="BZ191" s="85"/>
      <c r="CA191" s="85"/>
      <c r="CB191" s="85"/>
      <c r="CC191" s="85"/>
      <c r="CD191" s="85"/>
      <c r="CE191" s="85"/>
      <c r="CF191" s="85"/>
      <c r="CG191" s="85"/>
      <c r="CH191" s="85"/>
      <c r="CI191" s="85"/>
      <c r="CJ191" s="85"/>
      <c r="CK191" s="85"/>
      <c r="CL191" s="85"/>
      <c r="CM191" s="85"/>
      <c r="CN191" s="85"/>
      <c r="CO191" s="85"/>
      <c r="CP191" s="85"/>
      <c r="CQ191" s="85"/>
      <c r="CR191" s="85"/>
      <c r="CS191" s="85"/>
      <c r="CT191" s="85"/>
      <c r="CU191" s="85"/>
      <c r="CV191" s="85"/>
      <c r="CW191" s="85"/>
      <c r="CX191" s="85"/>
      <c r="CY191" s="85"/>
      <c r="CZ191" s="85"/>
      <c r="DA191" s="85"/>
      <c r="DB191" s="85"/>
      <c r="DC191" s="85"/>
      <c r="DD191" s="85"/>
      <c r="DE191" s="85"/>
      <c r="DF191" s="85"/>
      <c r="DG191" s="85"/>
      <c r="DH191" s="85"/>
      <c r="DI191" s="85"/>
      <c r="DJ191" s="85"/>
      <c r="DK191" s="85"/>
      <c r="DL191" s="85"/>
      <c r="DM191" s="85"/>
      <c r="DN191" s="85"/>
      <c r="DO191" s="85"/>
      <c r="DP191" s="85"/>
      <c r="DQ191" s="85"/>
      <c r="DR191" s="85"/>
      <c r="DS191" s="85"/>
      <c r="DT191" s="85"/>
      <c r="DU191" s="85"/>
      <c r="DV191" s="85"/>
      <c r="DW191" s="85"/>
      <c r="DX191" s="85"/>
      <c r="DY191" s="85"/>
      <c r="DZ191" s="85"/>
      <c r="EA191" s="85"/>
      <c r="EB191" s="85"/>
      <c r="EC191" s="85"/>
      <c r="ED191" s="85"/>
      <c r="EE191" s="85"/>
      <c r="EF191" s="85"/>
      <c r="EG191" s="85"/>
      <c r="EH191" s="85"/>
      <c r="EI191" s="85"/>
      <c r="EJ191" s="85"/>
      <c r="EK191" s="85"/>
      <c r="EL191" s="85"/>
      <c r="EM191" s="85"/>
      <c r="EN191" s="85"/>
      <c r="EO191" s="85"/>
      <c r="EP191" s="85"/>
      <c r="EQ191" s="85"/>
      <c r="ER191" s="85"/>
      <c r="ES191" s="85"/>
      <c r="ET191" s="85"/>
      <c r="EU191" s="85"/>
      <c r="EV191" s="85"/>
      <c r="EW191" s="85"/>
      <c r="EX191" s="85"/>
      <c r="EY191" s="85"/>
      <c r="EZ191" s="85"/>
      <c r="FA191" s="85"/>
      <c r="FB191" s="85"/>
      <c r="FC191" s="85"/>
      <c r="FD191" s="85"/>
      <c r="FE191" s="85"/>
      <c r="FF191" s="85"/>
      <c r="FG191" s="85"/>
      <c r="FH191" s="85"/>
      <c r="FI191" s="85"/>
      <c r="FJ191" s="85"/>
      <c r="FK191" s="85"/>
      <c r="FL191" s="85"/>
      <c r="FM191" s="85"/>
      <c r="FN191" s="85"/>
      <c r="FO191" s="85"/>
      <c r="FP191" s="85"/>
      <c r="FQ191" s="85"/>
      <c r="FR191" s="85"/>
      <c r="FS191" s="85"/>
      <c r="FT191" s="85"/>
      <c r="FU191" s="85"/>
      <c r="FV191" s="85"/>
      <c r="FW191" s="85"/>
      <c r="FX191" s="85"/>
      <c r="FY191" s="85"/>
      <c r="FZ191" s="85"/>
      <c r="GA191" s="85"/>
      <c r="GB191" s="85"/>
      <c r="GC191" s="85"/>
    </row>
    <row r="192" spans="1:185" x14ac:dyDescent="0.35">
      <c r="A192" s="85"/>
      <c r="B192" s="85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85"/>
      <c r="AG192" s="85"/>
      <c r="AH192" s="85"/>
      <c r="AI192" s="85"/>
      <c r="AJ192" s="85"/>
      <c r="AK192" s="85"/>
      <c r="AL192" s="85"/>
      <c r="AM192" s="85"/>
      <c r="AN192" s="85"/>
      <c r="AO192" s="85"/>
      <c r="AP192" s="85"/>
      <c r="AQ192" s="85"/>
      <c r="AR192" s="85"/>
      <c r="AS192" s="85"/>
      <c r="AT192" s="85"/>
      <c r="AU192" s="85"/>
      <c r="AV192" s="85"/>
      <c r="AW192" s="85"/>
      <c r="AX192" s="85"/>
      <c r="AY192" s="85"/>
      <c r="AZ192" s="85"/>
      <c r="BA192" s="85"/>
      <c r="BB192" s="85"/>
      <c r="BC192" s="85"/>
      <c r="BD192" s="85"/>
      <c r="BE192" s="85"/>
      <c r="BF192" s="85"/>
      <c r="BG192" s="85"/>
      <c r="BH192" s="85"/>
      <c r="BI192" s="85"/>
      <c r="BJ192" s="85"/>
      <c r="BK192" s="85"/>
      <c r="BL192" s="85"/>
      <c r="BM192" s="85"/>
      <c r="BN192" s="85"/>
      <c r="BO192" s="85"/>
      <c r="BP192" s="85"/>
      <c r="BQ192" s="85"/>
      <c r="BR192" s="85"/>
      <c r="BS192" s="85"/>
      <c r="BT192" s="85"/>
      <c r="BU192" s="85"/>
      <c r="BV192" s="85"/>
      <c r="BW192" s="85"/>
      <c r="BX192" s="85"/>
      <c r="BY192" s="85"/>
      <c r="BZ192" s="85"/>
      <c r="CA192" s="85"/>
      <c r="CB192" s="85"/>
      <c r="CC192" s="85"/>
      <c r="CD192" s="85"/>
      <c r="CE192" s="85"/>
      <c r="CF192" s="85"/>
      <c r="CG192" s="85"/>
      <c r="CH192" s="85"/>
      <c r="CI192" s="85"/>
      <c r="CJ192" s="85"/>
      <c r="CK192" s="85"/>
      <c r="CL192" s="85"/>
      <c r="CM192" s="85"/>
      <c r="CN192" s="85"/>
      <c r="CO192" s="85"/>
      <c r="CP192" s="85"/>
      <c r="CQ192" s="85"/>
      <c r="CR192" s="85"/>
      <c r="CS192" s="85"/>
      <c r="CT192" s="85"/>
      <c r="CU192" s="85"/>
      <c r="CV192" s="85"/>
      <c r="CW192" s="85"/>
      <c r="CX192" s="85"/>
      <c r="CY192" s="85"/>
      <c r="CZ192" s="85"/>
      <c r="DA192" s="85"/>
      <c r="DB192" s="85"/>
      <c r="DC192" s="85"/>
      <c r="DD192" s="85"/>
      <c r="DE192" s="85"/>
      <c r="DF192" s="85"/>
      <c r="DG192" s="85"/>
      <c r="DH192" s="85"/>
      <c r="DI192" s="85"/>
      <c r="DJ192" s="85"/>
      <c r="DK192" s="85"/>
      <c r="DL192" s="85"/>
      <c r="DM192" s="85"/>
      <c r="DN192" s="85"/>
      <c r="DO192" s="85"/>
      <c r="DP192" s="85"/>
      <c r="DQ192" s="85"/>
      <c r="DR192" s="85"/>
      <c r="DS192" s="85"/>
      <c r="DT192" s="85"/>
      <c r="DU192" s="85"/>
      <c r="DV192" s="85"/>
      <c r="DW192" s="85"/>
      <c r="DX192" s="85"/>
      <c r="DY192" s="85"/>
      <c r="DZ192" s="85"/>
      <c r="EA192" s="85"/>
      <c r="EB192" s="85"/>
      <c r="EC192" s="85"/>
      <c r="ED192" s="85"/>
      <c r="EE192" s="85"/>
      <c r="EF192" s="85"/>
      <c r="EG192" s="85"/>
      <c r="EH192" s="85"/>
      <c r="EI192" s="85"/>
      <c r="EJ192" s="85"/>
      <c r="EK192" s="85"/>
      <c r="EL192" s="85"/>
      <c r="EM192" s="85"/>
      <c r="EN192" s="85"/>
      <c r="EO192" s="85"/>
      <c r="EP192" s="85"/>
      <c r="EQ192" s="85"/>
      <c r="ER192" s="85"/>
      <c r="ES192" s="85"/>
      <c r="ET192" s="85"/>
      <c r="EU192" s="85"/>
      <c r="EV192" s="85"/>
      <c r="EW192" s="85"/>
      <c r="EX192" s="85"/>
      <c r="EY192" s="85"/>
      <c r="EZ192" s="85"/>
      <c r="FA192" s="85"/>
      <c r="FB192" s="85"/>
      <c r="FC192" s="85"/>
      <c r="FD192" s="85"/>
      <c r="FE192" s="85"/>
      <c r="FF192" s="85"/>
      <c r="FG192" s="85"/>
      <c r="FH192" s="85"/>
      <c r="FI192" s="85"/>
      <c r="FJ192" s="85"/>
      <c r="FK192" s="85"/>
      <c r="FL192" s="85"/>
      <c r="FM192" s="85"/>
      <c r="FN192" s="85"/>
      <c r="FO192" s="85"/>
      <c r="FP192" s="85"/>
      <c r="FQ192" s="85"/>
      <c r="FR192" s="85"/>
      <c r="FS192" s="85"/>
      <c r="FT192" s="85"/>
      <c r="FU192" s="85"/>
      <c r="FV192" s="85"/>
      <c r="FW192" s="85"/>
      <c r="FX192" s="85"/>
      <c r="FY192" s="85"/>
      <c r="FZ192" s="85"/>
      <c r="GA192" s="85"/>
      <c r="GB192" s="85"/>
      <c r="GC192" s="85"/>
    </row>
    <row r="193" spans="1:185" x14ac:dyDescent="0.35">
      <c r="A193" s="85"/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85"/>
      <c r="AG193" s="85"/>
      <c r="AH193" s="85"/>
      <c r="AI193" s="85"/>
      <c r="AJ193" s="85"/>
      <c r="AK193" s="85"/>
      <c r="AL193" s="85"/>
      <c r="AM193" s="85"/>
      <c r="AN193" s="85"/>
      <c r="AO193" s="85"/>
      <c r="AP193" s="85"/>
      <c r="AQ193" s="85"/>
      <c r="AR193" s="85"/>
      <c r="AS193" s="85"/>
      <c r="AT193" s="85"/>
      <c r="AU193" s="85"/>
      <c r="AV193" s="85"/>
      <c r="AW193" s="85"/>
      <c r="AX193" s="85"/>
      <c r="AY193" s="85"/>
      <c r="AZ193" s="85"/>
      <c r="BA193" s="85"/>
      <c r="BB193" s="85"/>
      <c r="BC193" s="85"/>
      <c r="BD193" s="85"/>
      <c r="BE193" s="85"/>
      <c r="BF193" s="85"/>
      <c r="BG193" s="85"/>
      <c r="BH193" s="85"/>
      <c r="BI193" s="85"/>
      <c r="BJ193" s="85"/>
      <c r="BK193" s="85"/>
      <c r="BL193" s="85"/>
      <c r="BM193" s="85"/>
      <c r="BN193" s="85"/>
      <c r="BO193" s="85"/>
      <c r="BP193" s="85"/>
      <c r="BQ193" s="85"/>
      <c r="BR193" s="85"/>
      <c r="BS193" s="85"/>
      <c r="BT193" s="85"/>
      <c r="BU193" s="85"/>
      <c r="BV193" s="85"/>
      <c r="BW193" s="85"/>
      <c r="BX193" s="85"/>
      <c r="BY193" s="85"/>
      <c r="BZ193" s="85"/>
      <c r="CA193" s="85"/>
      <c r="CB193" s="85"/>
      <c r="CC193" s="85"/>
      <c r="CD193" s="85"/>
      <c r="CE193" s="85"/>
      <c r="CF193" s="85"/>
      <c r="CG193" s="85"/>
      <c r="CH193" s="85"/>
      <c r="CI193" s="85"/>
      <c r="CJ193" s="85"/>
      <c r="CK193" s="85"/>
      <c r="CL193" s="85"/>
      <c r="CM193" s="85"/>
      <c r="CN193" s="85"/>
      <c r="CO193" s="85"/>
      <c r="CP193" s="85"/>
      <c r="CQ193" s="85"/>
      <c r="CR193" s="85"/>
      <c r="CS193" s="85"/>
      <c r="CT193" s="85"/>
      <c r="CU193" s="85"/>
      <c r="CV193" s="85"/>
      <c r="CW193" s="85"/>
      <c r="CX193" s="85"/>
      <c r="CY193" s="85"/>
      <c r="CZ193" s="85"/>
      <c r="DA193" s="85"/>
      <c r="DB193" s="85"/>
      <c r="DC193" s="85"/>
      <c r="DD193" s="85"/>
      <c r="DE193" s="85"/>
      <c r="DF193" s="85"/>
      <c r="DG193" s="85"/>
      <c r="DH193" s="85"/>
      <c r="DI193" s="85"/>
      <c r="DJ193" s="85"/>
      <c r="DK193" s="85"/>
      <c r="DL193" s="85"/>
      <c r="DM193" s="85"/>
      <c r="DN193" s="85"/>
      <c r="DO193" s="85"/>
      <c r="DP193" s="85"/>
      <c r="DQ193" s="85"/>
      <c r="DR193" s="85"/>
      <c r="DS193" s="85"/>
      <c r="DT193" s="85"/>
      <c r="DU193" s="85"/>
      <c r="DV193" s="85"/>
      <c r="DW193" s="85"/>
      <c r="DX193" s="85"/>
      <c r="DY193" s="85"/>
      <c r="DZ193" s="85"/>
      <c r="EA193" s="85"/>
      <c r="EB193" s="85"/>
      <c r="EC193" s="85"/>
      <c r="ED193" s="85"/>
      <c r="EE193" s="85"/>
      <c r="EF193" s="85"/>
      <c r="EG193" s="85"/>
      <c r="EH193" s="85"/>
      <c r="EI193" s="85"/>
      <c r="EJ193" s="85"/>
      <c r="EK193" s="85"/>
      <c r="EL193" s="85"/>
      <c r="EM193" s="85"/>
      <c r="EN193" s="85"/>
      <c r="EO193" s="85"/>
      <c r="EP193" s="85"/>
      <c r="EQ193" s="85"/>
      <c r="ER193" s="85"/>
      <c r="ES193" s="85"/>
      <c r="ET193" s="85"/>
      <c r="EU193" s="85"/>
      <c r="EV193" s="85"/>
      <c r="EW193" s="85"/>
      <c r="EX193" s="85"/>
      <c r="EY193" s="85"/>
      <c r="EZ193" s="85"/>
      <c r="FA193" s="85"/>
      <c r="FB193" s="85"/>
      <c r="FC193" s="85"/>
      <c r="FD193" s="85"/>
      <c r="FE193" s="85"/>
      <c r="FF193" s="85"/>
      <c r="FG193" s="85"/>
      <c r="FH193" s="85"/>
      <c r="FI193" s="85"/>
      <c r="FJ193" s="85"/>
      <c r="FK193" s="85"/>
      <c r="FL193" s="85"/>
      <c r="FM193" s="85"/>
      <c r="FN193" s="85"/>
      <c r="FO193" s="85"/>
      <c r="FP193" s="85"/>
      <c r="FQ193" s="85"/>
      <c r="FR193" s="85"/>
      <c r="FS193" s="85"/>
      <c r="FT193" s="85"/>
      <c r="FU193" s="85"/>
      <c r="FV193" s="85"/>
      <c r="FW193" s="85"/>
      <c r="FX193" s="85"/>
      <c r="FY193" s="85"/>
      <c r="FZ193" s="85"/>
      <c r="GA193" s="85"/>
      <c r="GB193" s="85"/>
      <c r="GC193" s="85"/>
    </row>
    <row r="194" spans="1:185" x14ac:dyDescent="0.35">
      <c r="A194" s="85"/>
      <c r="B194" s="85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85"/>
      <c r="AG194" s="85"/>
      <c r="AH194" s="85"/>
      <c r="AI194" s="85"/>
      <c r="AJ194" s="85"/>
      <c r="AK194" s="85"/>
      <c r="AL194" s="85"/>
      <c r="AM194" s="85"/>
      <c r="AN194" s="85"/>
      <c r="AO194" s="85"/>
      <c r="AP194" s="85"/>
      <c r="AQ194" s="85"/>
      <c r="AR194" s="85"/>
      <c r="AS194" s="85"/>
      <c r="AT194" s="85"/>
      <c r="AU194" s="85"/>
      <c r="AV194" s="85"/>
      <c r="AW194" s="85"/>
      <c r="AX194" s="85"/>
      <c r="AY194" s="85"/>
      <c r="AZ194" s="85"/>
      <c r="BA194" s="85"/>
      <c r="BB194" s="85"/>
      <c r="BC194" s="85"/>
      <c r="BD194" s="85"/>
      <c r="BE194" s="85"/>
      <c r="BF194" s="85"/>
      <c r="BG194" s="85"/>
      <c r="BH194" s="85"/>
      <c r="BI194" s="85"/>
      <c r="BJ194" s="85"/>
      <c r="BK194" s="85"/>
      <c r="BL194" s="85"/>
      <c r="BM194" s="85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  <c r="DF194" s="85"/>
      <c r="DG194" s="85"/>
      <c r="DH194" s="85"/>
      <c r="DI194" s="85"/>
      <c r="DJ194" s="85"/>
      <c r="DK194" s="85"/>
      <c r="DL194" s="85"/>
      <c r="DM194" s="85"/>
      <c r="DN194" s="85"/>
      <c r="DO194" s="85"/>
      <c r="DP194" s="85"/>
      <c r="DQ194" s="85"/>
      <c r="DR194" s="85"/>
      <c r="DS194" s="85"/>
      <c r="DT194" s="85"/>
      <c r="DU194" s="85"/>
      <c r="DV194" s="85"/>
      <c r="DW194" s="85"/>
      <c r="DX194" s="85"/>
      <c r="DY194" s="85"/>
      <c r="DZ194" s="85"/>
      <c r="EA194" s="85"/>
      <c r="EB194" s="85"/>
      <c r="EC194" s="85"/>
      <c r="ED194" s="85"/>
      <c r="EE194" s="85"/>
      <c r="EF194" s="85"/>
      <c r="EG194" s="85"/>
      <c r="EH194" s="85"/>
      <c r="EI194" s="85"/>
      <c r="EJ194" s="85"/>
      <c r="EK194" s="85"/>
      <c r="EL194" s="85"/>
      <c r="EM194" s="85"/>
      <c r="EN194" s="85"/>
      <c r="EO194" s="85"/>
      <c r="EP194" s="85"/>
      <c r="EQ194" s="85"/>
      <c r="ER194" s="85"/>
      <c r="ES194" s="85"/>
      <c r="ET194" s="85"/>
      <c r="EU194" s="85"/>
      <c r="EV194" s="85"/>
      <c r="EW194" s="85"/>
      <c r="EX194" s="85"/>
      <c r="EY194" s="85"/>
      <c r="EZ194" s="85"/>
      <c r="FA194" s="85"/>
      <c r="FB194" s="85"/>
      <c r="FC194" s="85"/>
      <c r="FD194" s="85"/>
      <c r="FE194" s="85"/>
      <c r="FF194" s="85"/>
      <c r="FG194" s="85"/>
      <c r="FH194" s="85"/>
      <c r="FI194" s="85"/>
      <c r="FJ194" s="85"/>
      <c r="FK194" s="85"/>
      <c r="FL194" s="85"/>
      <c r="FM194" s="85"/>
      <c r="FN194" s="85"/>
      <c r="FO194" s="85"/>
      <c r="FP194" s="85"/>
      <c r="FQ194" s="85"/>
      <c r="FR194" s="85"/>
      <c r="FS194" s="85"/>
      <c r="FT194" s="85"/>
      <c r="FU194" s="85"/>
      <c r="FV194" s="85"/>
      <c r="FW194" s="85"/>
      <c r="FX194" s="85"/>
      <c r="FY194" s="85"/>
      <c r="FZ194" s="85"/>
      <c r="GA194" s="85"/>
      <c r="GB194" s="85"/>
      <c r="GC194" s="85"/>
    </row>
    <row r="195" spans="1:185" x14ac:dyDescent="0.35">
      <c r="A195" s="85"/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85"/>
      <c r="AG195" s="85"/>
      <c r="AH195" s="85"/>
      <c r="AI195" s="85"/>
      <c r="AJ195" s="85"/>
      <c r="AK195" s="85"/>
      <c r="AL195" s="85"/>
      <c r="AM195" s="85"/>
      <c r="AN195" s="85"/>
      <c r="AO195" s="85"/>
      <c r="AP195" s="85"/>
      <c r="AQ195" s="85"/>
      <c r="AR195" s="85"/>
      <c r="AS195" s="85"/>
      <c r="AT195" s="85"/>
      <c r="AU195" s="85"/>
      <c r="AV195" s="85"/>
      <c r="AW195" s="85"/>
      <c r="AX195" s="85"/>
      <c r="AY195" s="85"/>
      <c r="AZ195" s="85"/>
      <c r="BA195" s="85"/>
      <c r="BB195" s="85"/>
      <c r="BC195" s="85"/>
      <c r="BD195" s="85"/>
      <c r="BE195" s="85"/>
      <c r="BF195" s="85"/>
      <c r="BG195" s="85"/>
      <c r="BH195" s="85"/>
      <c r="BI195" s="85"/>
      <c r="BJ195" s="85"/>
      <c r="BK195" s="85"/>
      <c r="BL195" s="85"/>
      <c r="BM195" s="85"/>
      <c r="BN195" s="85"/>
      <c r="BO195" s="85"/>
      <c r="BP195" s="85"/>
      <c r="BQ195" s="85"/>
      <c r="BR195" s="85"/>
      <c r="BS195" s="85"/>
      <c r="BT195" s="85"/>
      <c r="BU195" s="85"/>
      <c r="BV195" s="85"/>
      <c r="BW195" s="85"/>
      <c r="BX195" s="85"/>
      <c r="BY195" s="85"/>
      <c r="BZ195" s="85"/>
      <c r="CA195" s="85"/>
      <c r="CB195" s="85"/>
      <c r="CC195" s="85"/>
      <c r="CD195" s="85"/>
      <c r="CE195" s="85"/>
      <c r="CF195" s="85"/>
      <c r="CG195" s="85"/>
      <c r="CH195" s="85"/>
      <c r="CI195" s="85"/>
      <c r="CJ195" s="85"/>
      <c r="CK195" s="85"/>
      <c r="CL195" s="85"/>
      <c r="CM195" s="85"/>
      <c r="CN195" s="85"/>
      <c r="CO195" s="85"/>
      <c r="CP195" s="85"/>
      <c r="CQ195" s="85"/>
      <c r="CR195" s="85"/>
      <c r="CS195" s="85"/>
      <c r="CT195" s="85"/>
      <c r="CU195" s="85"/>
      <c r="CV195" s="85"/>
      <c r="CW195" s="85"/>
      <c r="CX195" s="85"/>
      <c r="CY195" s="85"/>
      <c r="CZ195" s="85"/>
      <c r="DA195" s="85"/>
      <c r="DB195" s="85"/>
      <c r="DC195" s="85"/>
      <c r="DD195" s="85"/>
      <c r="DE195" s="85"/>
      <c r="DF195" s="85"/>
      <c r="DG195" s="85"/>
      <c r="DH195" s="85"/>
      <c r="DI195" s="85"/>
      <c r="DJ195" s="85"/>
      <c r="DK195" s="85"/>
      <c r="DL195" s="85"/>
      <c r="DM195" s="85"/>
      <c r="DN195" s="85"/>
      <c r="DO195" s="85"/>
      <c r="DP195" s="85"/>
      <c r="DQ195" s="85"/>
      <c r="DR195" s="85"/>
      <c r="DS195" s="85"/>
      <c r="DT195" s="85"/>
      <c r="DU195" s="85"/>
      <c r="DV195" s="85"/>
      <c r="DW195" s="85"/>
      <c r="DX195" s="85"/>
      <c r="DY195" s="85"/>
      <c r="DZ195" s="85"/>
      <c r="EA195" s="85"/>
      <c r="EB195" s="85"/>
      <c r="EC195" s="85"/>
      <c r="ED195" s="85"/>
      <c r="EE195" s="85"/>
      <c r="EF195" s="85"/>
      <c r="EG195" s="85"/>
      <c r="EH195" s="85"/>
      <c r="EI195" s="85"/>
      <c r="EJ195" s="85"/>
      <c r="EK195" s="85"/>
      <c r="EL195" s="85"/>
      <c r="EM195" s="85"/>
      <c r="EN195" s="85"/>
      <c r="EO195" s="85"/>
      <c r="EP195" s="85"/>
      <c r="EQ195" s="85"/>
      <c r="ER195" s="85"/>
      <c r="ES195" s="85"/>
      <c r="ET195" s="85"/>
      <c r="EU195" s="85"/>
      <c r="EV195" s="85"/>
      <c r="EW195" s="85"/>
      <c r="EX195" s="85"/>
      <c r="EY195" s="85"/>
      <c r="EZ195" s="85"/>
      <c r="FA195" s="85"/>
      <c r="FB195" s="85"/>
      <c r="FC195" s="85"/>
      <c r="FD195" s="85"/>
      <c r="FE195" s="85"/>
      <c r="FF195" s="85"/>
      <c r="FG195" s="85"/>
      <c r="FH195" s="85"/>
      <c r="FI195" s="85"/>
      <c r="FJ195" s="85"/>
      <c r="FK195" s="85"/>
      <c r="FL195" s="85"/>
      <c r="FM195" s="85"/>
      <c r="FN195" s="85"/>
      <c r="FO195" s="85"/>
      <c r="FP195" s="85"/>
      <c r="FQ195" s="85"/>
      <c r="FR195" s="85"/>
      <c r="FS195" s="85"/>
      <c r="FT195" s="85"/>
      <c r="FU195" s="85"/>
      <c r="FV195" s="85"/>
      <c r="FW195" s="85"/>
      <c r="FX195" s="85"/>
      <c r="FY195" s="85"/>
      <c r="FZ195" s="85"/>
      <c r="GA195" s="85"/>
      <c r="GB195" s="85"/>
      <c r="GC195" s="85"/>
    </row>
    <row r="196" spans="1:185" x14ac:dyDescent="0.35">
      <c r="A196" s="85"/>
      <c r="B196" s="85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85"/>
      <c r="AG196" s="85"/>
      <c r="AH196" s="85"/>
      <c r="AI196" s="85"/>
      <c r="AJ196" s="85"/>
      <c r="AK196" s="85"/>
      <c r="AL196" s="85"/>
      <c r="AM196" s="85"/>
      <c r="AN196" s="85"/>
      <c r="AO196" s="85"/>
      <c r="AP196" s="85"/>
      <c r="AQ196" s="85"/>
      <c r="AR196" s="85"/>
      <c r="AS196" s="85"/>
      <c r="AT196" s="85"/>
      <c r="AU196" s="85"/>
      <c r="AV196" s="85"/>
      <c r="AW196" s="85"/>
      <c r="AX196" s="85"/>
      <c r="AY196" s="85"/>
      <c r="AZ196" s="85"/>
      <c r="BA196" s="85"/>
      <c r="BB196" s="85"/>
      <c r="BC196" s="85"/>
      <c r="BD196" s="85"/>
      <c r="BE196" s="85"/>
      <c r="BF196" s="85"/>
      <c r="BG196" s="85"/>
      <c r="BH196" s="85"/>
      <c r="BI196" s="85"/>
      <c r="BJ196" s="85"/>
      <c r="BK196" s="85"/>
      <c r="BL196" s="85"/>
      <c r="BM196" s="85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  <c r="DF196" s="85"/>
      <c r="DG196" s="85"/>
      <c r="DH196" s="85"/>
      <c r="DI196" s="85"/>
      <c r="DJ196" s="85"/>
      <c r="DK196" s="85"/>
      <c r="DL196" s="85"/>
      <c r="DM196" s="85"/>
      <c r="DN196" s="85"/>
      <c r="DO196" s="85"/>
      <c r="DP196" s="85"/>
      <c r="DQ196" s="85"/>
      <c r="DR196" s="85"/>
      <c r="DS196" s="85"/>
      <c r="DT196" s="85"/>
      <c r="DU196" s="85"/>
      <c r="DV196" s="85"/>
      <c r="DW196" s="85"/>
      <c r="DX196" s="85"/>
      <c r="DY196" s="85"/>
      <c r="DZ196" s="85"/>
      <c r="EA196" s="85"/>
      <c r="EB196" s="85"/>
      <c r="EC196" s="85"/>
      <c r="ED196" s="85"/>
      <c r="EE196" s="85"/>
      <c r="EF196" s="85"/>
      <c r="EG196" s="85"/>
      <c r="EH196" s="85"/>
      <c r="EI196" s="85"/>
      <c r="EJ196" s="85"/>
      <c r="EK196" s="85"/>
      <c r="EL196" s="85"/>
      <c r="EM196" s="85"/>
      <c r="EN196" s="85"/>
      <c r="EO196" s="85"/>
      <c r="EP196" s="85"/>
      <c r="EQ196" s="85"/>
      <c r="ER196" s="85"/>
      <c r="ES196" s="85"/>
      <c r="ET196" s="85"/>
      <c r="EU196" s="85"/>
      <c r="EV196" s="85"/>
      <c r="EW196" s="85"/>
      <c r="EX196" s="85"/>
      <c r="EY196" s="85"/>
      <c r="EZ196" s="85"/>
      <c r="FA196" s="85"/>
      <c r="FB196" s="85"/>
      <c r="FC196" s="85"/>
      <c r="FD196" s="85"/>
      <c r="FE196" s="85"/>
      <c r="FF196" s="85"/>
      <c r="FG196" s="85"/>
      <c r="FH196" s="85"/>
      <c r="FI196" s="85"/>
      <c r="FJ196" s="85"/>
      <c r="FK196" s="85"/>
      <c r="FL196" s="85"/>
      <c r="FM196" s="85"/>
      <c r="FN196" s="85"/>
      <c r="FO196" s="85"/>
      <c r="FP196" s="85"/>
      <c r="FQ196" s="85"/>
      <c r="FR196" s="85"/>
      <c r="FS196" s="85"/>
      <c r="FT196" s="85"/>
      <c r="FU196" s="85"/>
      <c r="FV196" s="85"/>
      <c r="FW196" s="85"/>
      <c r="FX196" s="85"/>
      <c r="FY196" s="85"/>
      <c r="FZ196" s="85"/>
      <c r="GA196" s="85"/>
      <c r="GB196" s="85"/>
      <c r="GC196" s="85"/>
    </row>
    <row r="197" spans="1:185" x14ac:dyDescent="0.35">
      <c r="A197" s="85"/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  <c r="AH197" s="85"/>
      <c r="AI197" s="85"/>
      <c r="AJ197" s="85"/>
      <c r="AK197" s="85"/>
      <c r="AL197" s="85"/>
      <c r="AM197" s="85"/>
      <c r="AN197" s="85"/>
      <c r="AO197" s="85"/>
      <c r="AP197" s="85"/>
      <c r="AQ197" s="85"/>
      <c r="AR197" s="85"/>
      <c r="AS197" s="85"/>
      <c r="AT197" s="85"/>
      <c r="AU197" s="85"/>
      <c r="AV197" s="85"/>
      <c r="AW197" s="85"/>
      <c r="AX197" s="85"/>
      <c r="AY197" s="85"/>
      <c r="AZ197" s="85"/>
      <c r="BA197" s="85"/>
      <c r="BB197" s="85"/>
      <c r="BC197" s="85"/>
      <c r="BD197" s="85"/>
      <c r="BE197" s="85"/>
      <c r="BF197" s="85"/>
      <c r="BG197" s="85"/>
      <c r="BH197" s="85"/>
      <c r="BI197" s="85"/>
      <c r="BJ197" s="85"/>
      <c r="BK197" s="85"/>
      <c r="BL197" s="85"/>
      <c r="BM197" s="85"/>
      <c r="BN197" s="85"/>
      <c r="BO197" s="85"/>
      <c r="BP197" s="85"/>
      <c r="BQ197" s="85"/>
      <c r="BR197" s="85"/>
      <c r="BS197" s="85"/>
      <c r="BT197" s="85"/>
      <c r="BU197" s="85"/>
      <c r="BV197" s="85"/>
      <c r="BW197" s="85"/>
      <c r="BX197" s="85"/>
      <c r="BY197" s="85"/>
      <c r="BZ197" s="85"/>
      <c r="CA197" s="85"/>
      <c r="CB197" s="85"/>
      <c r="CC197" s="85"/>
      <c r="CD197" s="85"/>
      <c r="CE197" s="85"/>
      <c r="CF197" s="85"/>
      <c r="CG197" s="85"/>
      <c r="CH197" s="85"/>
      <c r="CI197" s="85"/>
      <c r="CJ197" s="85"/>
      <c r="CK197" s="85"/>
      <c r="CL197" s="85"/>
      <c r="CM197" s="85"/>
      <c r="CN197" s="85"/>
      <c r="CO197" s="85"/>
      <c r="CP197" s="85"/>
      <c r="CQ197" s="85"/>
      <c r="CR197" s="85"/>
      <c r="CS197" s="85"/>
      <c r="CT197" s="85"/>
      <c r="CU197" s="85"/>
      <c r="CV197" s="85"/>
      <c r="CW197" s="85"/>
      <c r="CX197" s="85"/>
      <c r="CY197" s="85"/>
      <c r="CZ197" s="85"/>
      <c r="DA197" s="85"/>
      <c r="DB197" s="85"/>
      <c r="DC197" s="85"/>
      <c r="DD197" s="85"/>
      <c r="DE197" s="85"/>
      <c r="DF197" s="85"/>
      <c r="DG197" s="85"/>
      <c r="DH197" s="85"/>
      <c r="DI197" s="85"/>
      <c r="DJ197" s="85"/>
      <c r="DK197" s="85"/>
      <c r="DL197" s="85"/>
      <c r="DM197" s="85"/>
      <c r="DN197" s="85"/>
      <c r="DO197" s="85"/>
      <c r="DP197" s="85"/>
      <c r="DQ197" s="85"/>
      <c r="DR197" s="85"/>
      <c r="DS197" s="85"/>
      <c r="DT197" s="85"/>
      <c r="DU197" s="85"/>
      <c r="DV197" s="85"/>
      <c r="DW197" s="85"/>
      <c r="DX197" s="85"/>
      <c r="DY197" s="85"/>
      <c r="DZ197" s="85"/>
      <c r="EA197" s="85"/>
      <c r="EB197" s="85"/>
      <c r="EC197" s="85"/>
      <c r="ED197" s="85"/>
      <c r="EE197" s="85"/>
      <c r="EF197" s="85"/>
      <c r="EG197" s="85"/>
      <c r="EH197" s="85"/>
      <c r="EI197" s="85"/>
      <c r="EJ197" s="85"/>
      <c r="EK197" s="85"/>
      <c r="EL197" s="85"/>
      <c r="EM197" s="85"/>
      <c r="EN197" s="85"/>
      <c r="EO197" s="85"/>
      <c r="EP197" s="85"/>
      <c r="EQ197" s="85"/>
      <c r="ER197" s="85"/>
      <c r="ES197" s="85"/>
      <c r="ET197" s="85"/>
      <c r="EU197" s="85"/>
      <c r="EV197" s="85"/>
      <c r="EW197" s="85"/>
      <c r="EX197" s="85"/>
      <c r="EY197" s="85"/>
      <c r="EZ197" s="85"/>
      <c r="FA197" s="85"/>
      <c r="FB197" s="85"/>
      <c r="FC197" s="85"/>
      <c r="FD197" s="85"/>
      <c r="FE197" s="85"/>
      <c r="FF197" s="85"/>
      <c r="FG197" s="85"/>
      <c r="FH197" s="85"/>
      <c r="FI197" s="85"/>
      <c r="FJ197" s="85"/>
      <c r="FK197" s="85"/>
      <c r="FL197" s="85"/>
      <c r="FM197" s="85"/>
      <c r="FN197" s="85"/>
      <c r="FO197" s="85"/>
      <c r="FP197" s="85"/>
      <c r="FQ197" s="85"/>
      <c r="FR197" s="85"/>
      <c r="FS197" s="85"/>
      <c r="FT197" s="85"/>
      <c r="FU197" s="85"/>
      <c r="FV197" s="85"/>
      <c r="FW197" s="85"/>
      <c r="FX197" s="85"/>
      <c r="FY197" s="85"/>
      <c r="FZ197" s="85"/>
      <c r="GA197" s="85"/>
      <c r="GB197" s="85"/>
      <c r="GC197" s="85"/>
    </row>
    <row r="198" spans="1:185" x14ac:dyDescent="0.35">
      <c r="A198" s="85"/>
      <c r="B198" s="85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85"/>
      <c r="AI198" s="85"/>
      <c r="AJ198" s="85"/>
      <c r="AK198" s="85"/>
      <c r="AL198" s="85"/>
      <c r="AM198" s="85"/>
      <c r="AN198" s="85"/>
      <c r="AO198" s="85"/>
      <c r="AP198" s="85"/>
      <c r="AQ198" s="85"/>
      <c r="AR198" s="85"/>
      <c r="AS198" s="85"/>
      <c r="AT198" s="85"/>
      <c r="AU198" s="85"/>
      <c r="AV198" s="85"/>
      <c r="AW198" s="85"/>
      <c r="AX198" s="85"/>
      <c r="AY198" s="85"/>
      <c r="AZ198" s="85"/>
      <c r="BA198" s="85"/>
      <c r="BB198" s="85"/>
      <c r="BC198" s="85"/>
      <c r="BD198" s="85"/>
      <c r="BE198" s="85"/>
      <c r="BF198" s="85"/>
      <c r="BG198" s="85"/>
      <c r="BH198" s="85"/>
      <c r="BI198" s="85"/>
      <c r="BJ198" s="85"/>
      <c r="BK198" s="85"/>
      <c r="BL198" s="85"/>
      <c r="BM198" s="85"/>
      <c r="BN198" s="85"/>
      <c r="BO198" s="85"/>
      <c r="BP198" s="85"/>
      <c r="BQ198" s="85"/>
      <c r="BR198" s="85"/>
      <c r="BS198" s="85"/>
      <c r="BT198" s="85"/>
      <c r="BU198" s="85"/>
      <c r="BV198" s="85"/>
      <c r="BW198" s="85"/>
      <c r="BX198" s="85"/>
      <c r="BY198" s="85"/>
      <c r="BZ198" s="85"/>
      <c r="CA198" s="85"/>
      <c r="CB198" s="85"/>
      <c r="CC198" s="85"/>
      <c r="CD198" s="85"/>
      <c r="CE198" s="85"/>
      <c r="CF198" s="85"/>
      <c r="CG198" s="85"/>
      <c r="CH198" s="85"/>
      <c r="CI198" s="85"/>
      <c r="CJ198" s="85"/>
      <c r="CK198" s="85"/>
      <c r="CL198" s="85"/>
      <c r="CM198" s="85"/>
      <c r="CN198" s="85"/>
      <c r="CO198" s="85"/>
      <c r="CP198" s="85"/>
      <c r="CQ198" s="85"/>
      <c r="CR198" s="85"/>
      <c r="CS198" s="85"/>
      <c r="CT198" s="85"/>
      <c r="CU198" s="85"/>
      <c r="CV198" s="85"/>
      <c r="CW198" s="85"/>
      <c r="CX198" s="85"/>
      <c r="CY198" s="85"/>
      <c r="CZ198" s="85"/>
      <c r="DA198" s="85"/>
      <c r="DB198" s="85"/>
      <c r="DC198" s="85"/>
      <c r="DD198" s="85"/>
      <c r="DE198" s="85"/>
      <c r="DF198" s="85"/>
      <c r="DG198" s="85"/>
      <c r="DH198" s="85"/>
      <c r="DI198" s="85"/>
      <c r="DJ198" s="85"/>
      <c r="DK198" s="85"/>
      <c r="DL198" s="85"/>
      <c r="DM198" s="85"/>
      <c r="DN198" s="85"/>
      <c r="DO198" s="85"/>
      <c r="DP198" s="85"/>
      <c r="DQ198" s="85"/>
      <c r="DR198" s="85"/>
      <c r="DS198" s="85"/>
      <c r="DT198" s="85"/>
      <c r="DU198" s="85"/>
      <c r="DV198" s="85"/>
      <c r="DW198" s="85"/>
      <c r="DX198" s="85"/>
      <c r="DY198" s="85"/>
      <c r="DZ198" s="85"/>
      <c r="EA198" s="85"/>
      <c r="EB198" s="85"/>
      <c r="EC198" s="85"/>
      <c r="ED198" s="85"/>
      <c r="EE198" s="85"/>
      <c r="EF198" s="85"/>
      <c r="EG198" s="85"/>
      <c r="EH198" s="85"/>
      <c r="EI198" s="85"/>
      <c r="EJ198" s="85"/>
      <c r="EK198" s="85"/>
      <c r="EL198" s="85"/>
      <c r="EM198" s="85"/>
      <c r="EN198" s="85"/>
      <c r="EO198" s="85"/>
      <c r="EP198" s="85"/>
      <c r="EQ198" s="85"/>
      <c r="ER198" s="85"/>
      <c r="ES198" s="85"/>
      <c r="ET198" s="85"/>
      <c r="EU198" s="85"/>
      <c r="EV198" s="85"/>
      <c r="EW198" s="85"/>
      <c r="EX198" s="85"/>
      <c r="EY198" s="85"/>
      <c r="EZ198" s="85"/>
      <c r="FA198" s="85"/>
      <c r="FB198" s="85"/>
      <c r="FC198" s="85"/>
      <c r="FD198" s="85"/>
      <c r="FE198" s="85"/>
      <c r="FF198" s="85"/>
      <c r="FG198" s="85"/>
      <c r="FH198" s="85"/>
      <c r="FI198" s="85"/>
      <c r="FJ198" s="85"/>
      <c r="FK198" s="85"/>
      <c r="FL198" s="85"/>
      <c r="FM198" s="85"/>
      <c r="FN198" s="85"/>
      <c r="FO198" s="85"/>
      <c r="FP198" s="85"/>
      <c r="FQ198" s="85"/>
      <c r="FR198" s="85"/>
      <c r="FS198" s="85"/>
      <c r="FT198" s="85"/>
      <c r="FU198" s="85"/>
      <c r="FV198" s="85"/>
      <c r="FW198" s="85"/>
      <c r="FX198" s="85"/>
      <c r="FY198" s="85"/>
      <c r="FZ198" s="85"/>
      <c r="GA198" s="85"/>
      <c r="GB198" s="85"/>
      <c r="GC198" s="85"/>
    </row>
    <row r="199" spans="1:185" x14ac:dyDescent="0.35">
      <c r="A199" s="85"/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  <c r="AH199" s="85"/>
      <c r="AI199" s="85"/>
      <c r="AJ199" s="85"/>
      <c r="AK199" s="85"/>
      <c r="AL199" s="85"/>
      <c r="AM199" s="85"/>
      <c r="AN199" s="85"/>
      <c r="AO199" s="85"/>
      <c r="AP199" s="85"/>
      <c r="AQ199" s="85"/>
      <c r="AR199" s="85"/>
      <c r="AS199" s="85"/>
      <c r="AT199" s="85"/>
      <c r="AU199" s="85"/>
      <c r="AV199" s="85"/>
      <c r="AW199" s="85"/>
      <c r="AX199" s="85"/>
      <c r="AY199" s="85"/>
      <c r="AZ199" s="85"/>
      <c r="BA199" s="85"/>
      <c r="BB199" s="85"/>
      <c r="BC199" s="85"/>
      <c r="BD199" s="85"/>
      <c r="BE199" s="85"/>
      <c r="BF199" s="85"/>
      <c r="BG199" s="85"/>
      <c r="BH199" s="85"/>
      <c r="BI199" s="85"/>
      <c r="BJ199" s="85"/>
      <c r="BK199" s="85"/>
      <c r="BL199" s="85"/>
      <c r="BM199" s="85"/>
      <c r="BN199" s="85"/>
      <c r="BO199" s="85"/>
      <c r="BP199" s="85"/>
      <c r="BQ199" s="85"/>
      <c r="BR199" s="85"/>
      <c r="BS199" s="85"/>
      <c r="BT199" s="85"/>
      <c r="BU199" s="85"/>
      <c r="BV199" s="85"/>
      <c r="BW199" s="85"/>
      <c r="BX199" s="85"/>
      <c r="BY199" s="85"/>
      <c r="BZ199" s="85"/>
      <c r="CA199" s="85"/>
      <c r="CB199" s="85"/>
      <c r="CC199" s="85"/>
      <c r="CD199" s="85"/>
      <c r="CE199" s="85"/>
      <c r="CF199" s="85"/>
      <c r="CG199" s="85"/>
      <c r="CH199" s="85"/>
      <c r="CI199" s="85"/>
      <c r="CJ199" s="85"/>
      <c r="CK199" s="85"/>
      <c r="CL199" s="85"/>
      <c r="CM199" s="85"/>
      <c r="CN199" s="85"/>
      <c r="CO199" s="85"/>
      <c r="CP199" s="85"/>
      <c r="CQ199" s="85"/>
      <c r="CR199" s="85"/>
      <c r="CS199" s="85"/>
      <c r="CT199" s="85"/>
      <c r="CU199" s="85"/>
      <c r="CV199" s="85"/>
      <c r="CW199" s="85"/>
      <c r="CX199" s="85"/>
      <c r="CY199" s="85"/>
      <c r="CZ199" s="85"/>
      <c r="DA199" s="85"/>
      <c r="DB199" s="85"/>
      <c r="DC199" s="85"/>
      <c r="DD199" s="85"/>
      <c r="DE199" s="85"/>
      <c r="DF199" s="85"/>
      <c r="DG199" s="85"/>
      <c r="DH199" s="85"/>
      <c r="DI199" s="85"/>
      <c r="DJ199" s="85"/>
      <c r="DK199" s="85"/>
      <c r="DL199" s="85"/>
      <c r="DM199" s="85"/>
      <c r="DN199" s="85"/>
      <c r="DO199" s="85"/>
      <c r="DP199" s="85"/>
      <c r="DQ199" s="85"/>
      <c r="DR199" s="85"/>
      <c r="DS199" s="85"/>
      <c r="DT199" s="85"/>
      <c r="DU199" s="85"/>
      <c r="DV199" s="85"/>
      <c r="DW199" s="85"/>
      <c r="DX199" s="85"/>
      <c r="DY199" s="85"/>
      <c r="DZ199" s="85"/>
      <c r="EA199" s="85"/>
      <c r="EB199" s="85"/>
      <c r="EC199" s="85"/>
      <c r="ED199" s="85"/>
      <c r="EE199" s="85"/>
      <c r="EF199" s="85"/>
      <c r="EG199" s="85"/>
      <c r="EH199" s="85"/>
      <c r="EI199" s="85"/>
      <c r="EJ199" s="85"/>
      <c r="EK199" s="85"/>
      <c r="EL199" s="85"/>
      <c r="EM199" s="85"/>
      <c r="EN199" s="85"/>
      <c r="EO199" s="85"/>
      <c r="EP199" s="85"/>
      <c r="EQ199" s="85"/>
      <c r="ER199" s="85"/>
      <c r="ES199" s="85"/>
      <c r="ET199" s="85"/>
      <c r="EU199" s="85"/>
      <c r="EV199" s="85"/>
      <c r="EW199" s="85"/>
      <c r="EX199" s="85"/>
      <c r="EY199" s="85"/>
      <c r="EZ199" s="85"/>
      <c r="FA199" s="85"/>
      <c r="FB199" s="85"/>
      <c r="FC199" s="85"/>
      <c r="FD199" s="85"/>
      <c r="FE199" s="85"/>
      <c r="FF199" s="85"/>
      <c r="FG199" s="85"/>
      <c r="FH199" s="85"/>
      <c r="FI199" s="85"/>
      <c r="FJ199" s="85"/>
      <c r="FK199" s="85"/>
      <c r="FL199" s="85"/>
      <c r="FM199" s="85"/>
      <c r="FN199" s="85"/>
      <c r="FO199" s="85"/>
      <c r="FP199" s="85"/>
      <c r="FQ199" s="85"/>
      <c r="FR199" s="85"/>
      <c r="FS199" s="85"/>
      <c r="FT199" s="85"/>
      <c r="FU199" s="85"/>
      <c r="FV199" s="85"/>
      <c r="FW199" s="85"/>
      <c r="FX199" s="85"/>
      <c r="FY199" s="85"/>
      <c r="FZ199" s="85"/>
      <c r="GA199" s="85"/>
      <c r="GB199" s="85"/>
      <c r="GC199" s="85"/>
    </row>
    <row r="200" spans="1:185" x14ac:dyDescent="0.35">
      <c r="A200" s="85"/>
      <c r="B200" s="85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5"/>
      <c r="AL200" s="85"/>
      <c r="AM200" s="85"/>
      <c r="AN200" s="85"/>
      <c r="AO200" s="85"/>
      <c r="AP200" s="85"/>
      <c r="AQ200" s="85"/>
      <c r="AR200" s="85"/>
      <c r="AS200" s="85"/>
      <c r="AT200" s="85"/>
      <c r="AU200" s="85"/>
      <c r="AV200" s="85"/>
      <c r="AW200" s="85"/>
      <c r="AX200" s="85"/>
      <c r="AY200" s="85"/>
      <c r="AZ200" s="85"/>
      <c r="BA200" s="85"/>
      <c r="BB200" s="85"/>
      <c r="BC200" s="85"/>
      <c r="BD200" s="85"/>
      <c r="BE200" s="85"/>
      <c r="BF200" s="85"/>
      <c r="BG200" s="85"/>
      <c r="BH200" s="85"/>
      <c r="BI200" s="85"/>
      <c r="BJ200" s="85"/>
      <c r="BK200" s="85"/>
      <c r="BL200" s="85"/>
      <c r="BM200" s="85"/>
      <c r="BN200" s="85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5"/>
      <c r="CL200" s="85"/>
      <c r="CM200" s="85"/>
      <c r="CN200" s="85"/>
      <c r="CO200" s="85"/>
      <c r="CP200" s="85"/>
      <c r="CQ200" s="85"/>
      <c r="CR200" s="85"/>
      <c r="CS200" s="85"/>
      <c r="CT200" s="85"/>
      <c r="CU200" s="85"/>
      <c r="CV200" s="85"/>
      <c r="CW200" s="85"/>
      <c r="CX200" s="85"/>
      <c r="CY200" s="85"/>
      <c r="CZ200" s="85"/>
      <c r="DA200" s="85"/>
      <c r="DB200" s="85"/>
      <c r="DC200" s="85"/>
      <c r="DD200" s="85"/>
      <c r="DE200" s="85"/>
      <c r="DF200" s="85"/>
      <c r="DG200" s="85"/>
      <c r="DH200" s="85"/>
      <c r="DI200" s="85"/>
      <c r="DJ200" s="85"/>
      <c r="DK200" s="85"/>
      <c r="DL200" s="85"/>
      <c r="DM200" s="85"/>
      <c r="DN200" s="85"/>
      <c r="DO200" s="85"/>
      <c r="DP200" s="85"/>
      <c r="DQ200" s="85"/>
      <c r="DR200" s="85"/>
      <c r="DS200" s="85"/>
      <c r="DT200" s="85"/>
      <c r="DU200" s="85"/>
      <c r="DV200" s="85"/>
      <c r="DW200" s="85"/>
      <c r="DX200" s="85"/>
      <c r="DY200" s="85"/>
      <c r="DZ200" s="85"/>
      <c r="EA200" s="85"/>
      <c r="EB200" s="85"/>
      <c r="EC200" s="85"/>
      <c r="ED200" s="85"/>
      <c r="EE200" s="85"/>
      <c r="EF200" s="85"/>
      <c r="EG200" s="85"/>
      <c r="EH200" s="85"/>
      <c r="EI200" s="85"/>
      <c r="EJ200" s="85"/>
      <c r="EK200" s="85"/>
      <c r="EL200" s="85"/>
      <c r="EM200" s="85"/>
      <c r="EN200" s="85"/>
      <c r="EO200" s="85"/>
      <c r="EP200" s="85"/>
      <c r="EQ200" s="85"/>
      <c r="ER200" s="85"/>
      <c r="ES200" s="85"/>
      <c r="ET200" s="85"/>
      <c r="EU200" s="85"/>
      <c r="EV200" s="85"/>
      <c r="EW200" s="85"/>
      <c r="EX200" s="85"/>
      <c r="EY200" s="85"/>
      <c r="EZ200" s="85"/>
      <c r="FA200" s="85"/>
      <c r="FB200" s="85"/>
      <c r="FC200" s="85"/>
      <c r="FD200" s="85"/>
      <c r="FE200" s="85"/>
      <c r="FF200" s="85"/>
      <c r="FG200" s="85"/>
      <c r="FH200" s="85"/>
      <c r="FI200" s="85"/>
      <c r="FJ200" s="85"/>
      <c r="FK200" s="85"/>
      <c r="FL200" s="85"/>
      <c r="FM200" s="85"/>
      <c r="FN200" s="85"/>
      <c r="FO200" s="85"/>
      <c r="FP200" s="85"/>
      <c r="FQ200" s="85"/>
      <c r="FR200" s="85"/>
      <c r="FS200" s="85"/>
      <c r="FT200" s="85"/>
      <c r="FU200" s="85"/>
      <c r="FV200" s="85"/>
      <c r="FW200" s="85"/>
      <c r="FX200" s="85"/>
      <c r="FY200" s="85"/>
      <c r="FZ200" s="85"/>
      <c r="GA200" s="85"/>
      <c r="GB200" s="85"/>
      <c r="GC200" s="85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Sheet6.Hasil_Click">
                <anchor moveWithCells="1" sizeWithCells="1">
                  <from>
                    <xdr:col>1</xdr:col>
                    <xdr:colOff>114300</xdr:colOff>
                    <xdr:row>8</xdr:row>
                    <xdr:rowOff>133350</xdr:rowOff>
                  </from>
                  <to>
                    <xdr:col>3</xdr:col>
                    <xdr:colOff>184150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D62"/>
  <sheetViews>
    <sheetView zoomScale="80" zoomScaleNormal="80" workbookViewId="0">
      <selection activeCell="L36" sqref="L36"/>
    </sheetView>
  </sheetViews>
  <sheetFormatPr defaultColWidth="9.1796875" defaultRowHeight="14.5" x14ac:dyDescent="0.35"/>
  <cols>
    <col min="1" max="19" width="9.1796875" style="1"/>
    <col min="20" max="20" width="21.81640625" style="1" customWidth="1"/>
    <col min="21" max="21" width="9.1796875" style="1"/>
    <col min="22" max="22" width="21.54296875" style="1" customWidth="1"/>
    <col min="23" max="25" width="9.1796875" style="1"/>
    <col min="26" max="26" width="17.54296875" style="1" customWidth="1"/>
    <col min="27" max="27" width="18.81640625" style="1" customWidth="1"/>
    <col min="28" max="28" width="17.54296875" style="1" customWidth="1"/>
    <col min="29" max="29" width="17.1796875" style="1" customWidth="1"/>
    <col min="30" max="30" width="21.26953125" style="1" customWidth="1"/>
    <col min="31" max="16384" width="9.1796875" style="1"/>
  </cols>
  <sheetData>
    <row r="1" spans="1:30" x14ac:dyDescent="0.35">
      <c r="A1" s="107" t="s">
        <v>35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8" t="s">
        <v>36</v>
      </c>
      <c r="S1" s="108" t="s">
        <v>5</v>
      </c>
      <c r="T1" s="108" t="s">
        <v>37</v>
      </c>
      <c r="V1" s="109" t="s">
        <v>38</v>
      </c>
      <c r="W1" s="109"/>
      <c r="X1" s="109"/>
      <c r="Y1" s="109"/>
      <c r="Z1" s="109"/>
      <c r="AA1" s="109"/>
      <c r="AB1" s="109"/>
    </row>
    <row r="2" spans="1:30" x14ac:dyDescent="0.35">
      <c r="A2" s="7"/>
      <c r="B2" s="47">
        <v>0</v>
      </c>
      <c r="C2" s="47">
        <v>1</v>
      </c>
      <c r="D2" s="47">
        <v>2</v>
      </c>
      <c r="E2" s="47">
        <v>3</v>
      </c>
      <c r="F2" s="47">
        <v>4</v>
      </c>
      <c r="G2" s="47">
        <v>5</v>
      </c>
      <c r="H2" s="47">
        <v>6</v>
      </c>
      <c r="I2" s="47">
        <v>7</v>
      </c>
      <c r="J2" s="47">
        <v>8</v>
      </c>
      <c r="K2" s="47">
        <v>9</v>
      </c>
      <c r="L2" s="47">
        <v>10</v>
      </c>
      <c r="M2" s="47">
        <v>11</v>
      </c>
      <c r="N2" s="47">
        <v>12</v>
      </c>
      <c r="O2" s="47">
        <v>13</v>
      </c>
      <c r="P2" s="47">
        <v>14</v>
      </c>
      <c r="Q2" s="47">
        <v>15</v>
      </c>
      <c r="R2" s="108"/>
      <c r="S2" s="108"/>
      <c r="T2" s="108"/>
      <c r="V2" s="4" t="s">
        <v>16</v>
      </c>
      <c r="W2" s="4" t="s">
        <v>30</v>
      </c>
      <c r="X2" s="4" t="s">
        <v>36</v>
      </c>
      <c r="Y2" s="4" t="s">
        <v>5</v>
      </c>
      <c r="Z2" s="4" t="s">
        <v>39</v>
      </c>
      <c r="AA2" s="4" t="s">
        <v>32</v>
      </c>
      <c r="AB2" s="4" t="s">
        <v>40</v>
      </c>
    </row>
    <row r="3" spans="1:30" ht="15" x14ac:dyDescent="0.35">
      <c r="A3" s="48">
        <v>0</v>
      </c>
      <c r="B3" s="49">
        <v>20978.9</v>
      </c>
      <c r="C3" s="49">
        <v>4.28</v>
      </c>
      <c r="D3" s="49">
        <v>17.579999999999998</v>
      </c>
      <c r="E3" s="49">
        <v>19.37</v>
      </c>
      <c r="F3" s="49">
        <v>6.11</v>
      </c>
      <c r="G3" s="49">
        <v>2.69</v>
      </c>
      <c r="H3" s="49">
        <v>21.85</v>
      </c>
      <c r="I3" s="49">
        <v>9.36</v>
      </c>
      <c r="J3" s="49">
        <v>10.94</v>
      </c>
      <c r="K3" s="49">
        <v>11.94</v>
      </c>
      <c r="L3" s="49">
        <v>16.399999999999999</v>
      </c>
      <c r="M3" s="49">
        <v>21.7</v>
      </c>
      <c r="N3" s="49">
        <v>6.85</v>
      </c>
      <c r="O3" s="49">
        <v>5.38</v>
      </c>
      <c r="P3" s="49">
        <v>7.24</v>
      </c>
      <c r="Q3" s="49">
        <v>11.04</v>
      </c>
      <c r="R3" s="50"/>
      <c r="S3" s="50"/>
      <c r="T3" s="51">
        <f>[1]Input!E3</f>
        <v>560</v>
      </c>
      <c r="V3" s="52">
        <v>0</v>
      </c>
      <c r="W3" s="52"/>
      <c r="X3" s="52"/>
      <c r="Y3" s="52"/>
      <c r="Z3" s="52">
        <v>0</v>
      </c>
      <c r="AA3" s="52">
        <f>T3</f>
        <v>560</v>
      </c>
      <c r="AB3" s="52">
        <f>SUM(Z3:AA3)</f>
        <v>560</v>
      </c>
    </row>
    <row r="4" spans="1:30" ht="15" x14ac:dyDescent="0.35">
      <c r="A4" s="53">
        <v>1</v>
      </c>
      <c r="B4" s="49">
        <v>4.28</v>
      </c>
      <c r="C4" s="49">
        <v>20978.9</v>
      </c>
      <c r="D4" s="49">
        <v>17.52</v>
      </c>
      <c r="E4" s="49">
        <v>18.2</v>
      </c>
      <c r="F4" s="49">
        <v>8.33</v>
      </c>
      <c r="G4" s="49">
        <v>6.87</v>
      </c>
      <c r="H4" s="49">
        <v>23.71</v>
      </c>
      <c r="I4" s="49">
        <v>12.6</v>
      </c>
      <c r="J4" s="49">
        <v>6.97</v>
      </c>
      <c r="K4" s="49">
        <v>14.76</v>
      </c>
      <c r="L4" s="49">
        <v>20.6</v>
      </c>
      <c r="M4" s="49">
        <v>20.91</v>
      </c>
      <c r="N4" s="49">
        <v>10.8</v>
      </c>
      <c r="O4" s="49">
        <v>8.94</v>
      </c>
      <c r="P4" s="49">
        <v>8.4600000000000009</v>
      </c>
      <c r="Q4" s="49">
        <v>10.28</v>
      </c>
      <c r="R4" s="50">
        <v>127</v>
      </c>
      <c r="S4" s="50">
        <v>106</v>
      </c>
      <c r="T4" s="5"/>
      <c r="V4" s="52" t="s">
        <v>41</v>
      </c>
      <c r="W4" s="52">
        <f>MIN(B3:Q3)</f>
        <v>2.69</v>
      </c>
      <c r="X4" s="52">
        <f>R8</f>
        <v>116</v>
      </c>
      <c r="Y4" s="52">
        <f>S8</f>
        <v>147</v>
      </c>
      <c r="Z4" s="52">
        <f>X4+Z3</f>
        <v>116</v>
      </c>
      <c r="AA4" s="52">
        <f>AA3-Y4</f>
        <v>413</v>
      </c>
      <c r="AB4" s="52">
        <f>SUM(Z4:AA4)</f>
        <v>529</v>
      </c>
    </row>
    <row r="5" spans="1:30" ht="15" x14ac:dyDescent="0.35">
      <c r="A5" s="3">
        <v>2</v>
      </c>
      <c r="B5" s="49">
        <v>17.579999999999998</v>
      </c>
      <c r="C5" s="49">
        <v>17.52</v>
      </c>
      <c r="D5" s="49">
        <v>20978.9</v>
      </c>
      <c r="E5" s="49">
        <v>4.91</v>
      </c>
      <c r="F5" s="49">
        <v>23.65</v>
      </c>
      <c r="G5" s="49">
        <v>19</v>
      </c>
      <c r="H5" s="49">
        <v>10.55</v>
      </c>
      <c r="I5" s="49">
        <v>13.44</v>
      </c>
      <c r="J5" s="49">
        <v>16.27</v>
      </c>
      <c r="K5" s="49">
        <v>11.73</v>
      </c>
      <c r="L5" s="49">
        <v>23.1</v>
      </c>
      <c r="M5" s="49">
        <v>5.04</v>
      </c>
      <c r="N5" s="49">
        <v>22.38</v>
      </c>
      <c r="O5" s="49">
        <v>14.96</v>
      </c>
      <c r="P5" s="49">
        <v>10.47</v>
      </c>
      <c r="Q5" s="49">
        <v>7.34</v>
      </c>
      <c r="R5" s="50">
        <v>124</v>
      </c>
      <c r="S5" s="50">
        <v>198</v>
      </c>
      <c r="T5" s="5"/>
      <c r="V5" s="52" t="s">
        <v>42</v>
      </c>
      <c r="W5" s="52">
        <f>MIN(C8:F8,H8:Q8)</f>
        <v>4.21</v>
      </c>
      <c r="X5" s="52">
        <f>R15</f>
        <v>160</v>
      </c>
      <c r="Y5" s="52">
        <f>S15</f>
        <v>183</v>
      </c>
      <c r="Z5" s="52">
        <f>X5+Z4</f>
        <v>276</v>
      </c>
      <c r="AA5" s="52">
        <f>AA4-Y5</f>
        <v>230</v>
      </c>
      <c r="AB5" s="52">
        <f>SUM(Z5:AA5)</f>
        <v>506</v>
      </c>
    </row>
    <row r="6" spans="1:30" ht="15" x14ac:dyDescent="0.35">
      <c r="A6" s="3">
        <v>3</v>
      </c>
      <c r="B6" s="49">
        <v>19.37</v>
      </c>
      <c r="C6" s="49">
        <v>18.2</v>
      </c>
      <c r="D6" s="49">
        <v>4.91</v>
      </c>
      <c r="E6" s="49">
        <v>20978.9</v>
      </c>
      <c r="F6" s="49">
        <v>25.44</v>
      </c>
      <c r="G6" s="49">
        <v>21.27</v>
      </c>
      <c r="H6" s="49">
        <v>15.19</v>
      </c>
      <c r="I6" s="49">
        <v>17.3</v>
      </c>
      <c r="J6" s="49">
        <v>15.01</v>
      </c>
      <c r="K6" s="49">
        <v>16.059999999999999</v>
      </c>
      <c r="L6" s="49">
        <v>27.43</v>
      </c>
      <c r="M6" s="49">
        <v>3.1</v>
      </c>
      <c r="N6" s="49">
        <v>25.07</v>
      </c>
      <c r="O6" s="49">
        <v>17.97</v>
      </c>
      <c r="P6" s="49">
        <v>12.99</v>
      </c>
      <c r="Q6" s="49">
        <v>8.33</v>
      </c>
      <c r="R6" s="50">
        <v>106</v>
      </c>
      <c r="S6" s="50">
        <v>139</v>
      </c>
      <c r="T6" s="5"/>
      <c r="V6" s="52" t="s">
        <v>43</v>
      </c>
      <c r="W6" s="52">
        <f>MIN(C15:F15,H15:M15,O15:Q15)</f>
        <v>5.08</v>
      </c>
      <c r="X6" s="52">
        <f>R7</f>
        <v>136</v>
      </c>
      <c r="Y6" s="52">
        <f>S7</f>
        <v>149</v>
      </c>
      <c r="Z6" s="52">
        <f>X6+Z5</f>
        <v>412</v>
      </c>
      <c r="AA6" s="52">
        <f>AA5-Y6</f>
        <v>81</v>
      </c>
      <c r="AB6" s="52">
        <f>SUM(Z6:AA6)</f>
        <v>493</v>
      </c>
    </row>
    <row r="7" spans="1:30" ht="15" x14ac:dyDescent="0.35">
      <c r="A7" s="3">
        <v>4</v>
      </c>
      <c r="B7" s="49">
        <v>6.11</v>
      </c>
      <c r="C7" s="49">
        <v>8.33</v>
      </c>
      <c r="D7" s="49">
        <v>23.65</v>
      </c>
      <c r="E7" s="49">
        <v>25.44</v>
      </c>
      <c r="F7" s="49">
        <v>20978.9</v>
      </c>
      <c r="G7" s="49">
        <v>5.05</v>
      </c>
      <c r="H7" s="49">
        <v>27.04</v>
      </c>
      <c r="I7" s="49">
        <v>13.72</v>
      </c>
      <c r="J7" s="49">
        <v>15.14</v>
      </c>
      <c r="K7" s="49">
        <v>16.600000000000001</v>
      </c>
      <c r="L7" s="49">
        <v>17.2</v>
      </c>
      <c r="M7" s="49">
        <v>27.81</v>
      </c>
      <c r="N7" s="49">
        <v>5.08</v>
      </c>
      <c r="O7" s="49">
        <v>9.9499999999999993</v>
      </c>
      <c r="P7" s="49">
        <v>13.22</v>
      </c>
      <c r="Q7" s="49">
        <v>17.12</v>
      </c>
      <c r="R7" s="50">
        <v>136</v>
      </c>
      <c r="S7" s="50">
        <v>149</v>
      </c>
      <c r="T7" s="5"/>
      <c r="V7" s="2" t="s">
        <v>44</v>
      </c>
      <c r="W7" s="2">
        <f>MIN(C7:E7,H7:M7,O7:Q7)</f>
        <v>8.33</v>
      </c>
      <c r="X7" s="6">
        <f>R4</f>
        <v>127</v>
      </c>
      <c r="Y7" s="6">
        <f>S4</f>
        <v>106</v>
      </c>
      <c r="Z7" s="2">
        <f>X7+Z6</f>
        <v>539</v>
      </c>
      <c r="AA7" s="2">
        <f>AA6-Y7</f>
        <v>-25</v>
      </c>
      <c r="AB7" s="2">
        <f>SUM(Z7:AA7)</f>
        <v>514</v>
      </c>
      <c r="AC7" s="1" t="s">
        <v>45</v>
      </c>
      <c r="AD7" s="1" t="s">
        <v>46</v>
      </c>
    </row>
    <row r="8" spans="1:30" ht="15" x14ac:dyDescent="0.35">
      <c r="A8" s="3">
        <v>5</v>
      </c>
      <c r="B8" s="49">
        <v>2.69</v>
      </c>
      <c r="C8" s="49">
        <v>6.87</v>
      </c>
      <c r="D8" s="49">
        <v>19</v>
      </c>
      <c r="E8" s="49">
        <v>21.27</v>
      </c>
      <c r="F8" s="49">
        <v>5.05</v>
      </c>
      <c r="G8" s="49">
        <v>20978.9</v>
      </c>
      <c r="H8" s="49">
        <v>22</v>
      </c>
      <c r="I8" s="49">
        <v>8.77</v>
      </c>
      <c r="J8" s="49">
        <v>13.63</v>
      </c>
      <c r="K8" s="49">
        <v>11.61</v>
      </c>
      <c r="L8" s="49">
        <v>14.2</v>
      </c>
      <c r="M8" s="49">
        <v>23.41</v>
      </c>
      <c r="N8" s="49">
        <v>4.21</v>
      </c>
      <c r="O8" s="49">
        <v>4.9000000000000004</v>
      </c>
      <c r="P8" s="49">
        <v>8.5299999999999994</v>
      </c>
      <c r="Q8" s="49">
        <v>12.98</v>
      </c>
      <c r="R8" s="50">
        <v>116</v>
      </c>
      <c r="S8" s="50">
        <v>147</v>
      </c>
      <c r="T8" s="5"/>
      <c r="V8" s="52" t="s">
        <v>47</v>
      </c>
      <c r="W8" s="54">
        <f>B7</f>
        <v>6.11</v>
      </c>
      <c r="X8" s="55"/>
      <c r="Y8" s="55"/>
      <c r="Z8" s="55"/>
      <c r="AA8" s="55"/>
      <c r="AB8" s="55"/>
    </row>
    <row r="9" spans="1:30" ht="15" x14ac:dyDescent="0.35">
      <c r="A9" s="3">
        <v>6</v>
      </c>
      <c r="B9" s="49">
        <v>21.85</v>
      </c>
      <c r="C9" s="49">
        <v>23.71</v>
      </c>
      <c r="D9" s="49">
        <v>10.55</v>
      </c>
      <c r="E9" s="49">
        <v>15.19</v>
      </c>
      <c r="F9" s="49">
        <v>27.04</v>
      </c>
      <c r="G9" s="49">
        <v>22</v>
      </c>
      <c r="H9" s="49">
        <v>20978.9</v>
      </c>
      <c r="I9" s="49">
        <v>13.48</v>
      </c>
      <c r="J9" s="49">
        <v>24.99</v>
      </c>
      <c r="K9" s="49">
        <v>10.57</v>
      </c>
      <c r="L9" s="49">
        <v>18.89</v>
      </c>
      <c r="M9" s="49">
        <v>13.83</v>
      </c>
      <c r="N9" s="49">
        <v>23.84</v>
      </c>
      <c r="O9" s="49">
        <v>17.09</v>
      </c>
      <c r="P9" s="49">
        <v>15.25</v>
      </c>
      <c r="Q9" s="49">
        <v>15.55</v>
      </c>
      <c r="R9" s="50">
        <v>126</v>
      </c>
      <c r="S9" s="50">
        <v>163</v>
      </c>
      <c r="T9" s="5"/>
      <c r="V9" s="8" t="s">
        <v>19</v>
      </c>
      <c r="W9" s="46">
        <f>SUM(W4:W6,W8)</f>
        <v>18.09</v>
      </c>
      <c r="X9" s="9"/>
      <c r="Y9" s="9"/>
      <c r="Z9" s="9"/>
      <c r="AA9" s="9"/>
      <c r="AB9" s="9"/>
    </row>
    <row r="10" spans="1:30" ht="15" x14ac:dyDescent="0.35">
      <c r="A10" s="3">
        <v>7</v>
      </c>
      <c r="B10" s="49">
        <v>9.36</v>
      </c>
      <c r="C10" s="49">
        <v>12.6</v>
      </c>
      <c r="D10" s="49">
        <v>13.44</v>
      </c>
      <c r="E10" s="49">
        <v>17.3</v>
      </c>
      <c r="F10" s="49">
        <v>13.72</v>
      </c>
      <c r="G10" s="49">
        <v>8.77</v>
      </c>
      <c r="H10" s="49">
        <v>13.48</v>
      </c>
      <c r="I10" s="49">
        <v>20978.9</v>
      </c>
      <c r="J10" s="49">
        <v>17.02</v>
      </c>
      <c r="K10" s="49">
        <v>2.91</v>
      </c>
      <c r="L10" s="49">
        <v>10.49</v>
      </c>
      <c r="M10" s="49">
        <v>18.440000000000001</v>
      </c>
      <c r="N10" s="49">
        <v>10.38</v>
      </c>
      <c r="O10" s="49">
        <v>4.01</v>
      </c>
      <c r="P10" s="49">
        <v>6.08</v>
      </c>
      <c r="Q10" s="49">
        <v>10.69</v>
      </c>
      <c r="R10" s="50">
        <v>154</v>
      </c>
      <c r="S10" s="50">
        <v>116</v>
      </c>
      <c r="T10" s="5"/>
    </row>
    <row r="11" spans="1:30" ht="15" x14ac:dyDescent="0.35">
      <c r="A11" s="3">
        <v>8</v>
      </c>
      <c r="B11" s="49">
        <v>10.94</v>
      </c>
      <c r="C11" s="49">
        <v>6.97</v>
      </c>
      <c r="D11" s="49">
        <v>16.27</v>
      </c>
      <c r="E11" s="49">
        <v>15.01</v>
      </c>
      <c r="F11" s="49">
        <v>15.14</v>
      </c>
      <c r="G11" s="49">
        <v>13.63</v>
      </c>
      <c r="H11" s="49">
        <v>24.99</v>
      </c>
      <c r="I11" s="49">
        <v>17.02</v>
      </c>
      <c r="J11" s="49">
        <v>20978.9</v>
      </c>
      <c r="K11" s="49">
        <v>18.329999999999998</v>
      </c>
      <c r="L11" s="49">
        <v>26.47</v>
      </c>
      <c r="M11" s="49">
        <v>18.07</v>
      </c>
      <c r="N11" s="49">
        <v>17.7</v>
      </c>
      <c r="O11" s="49">
        <v>14.26</v>
      </c>
      <c r="P11" s="49">
        <v>11.25</v>
      </c>
      <c r="Q11" s="49">
        <v>9.48</v>
      </c>
      <c r="R11" s="50">
        <v>194</v>
      </c>
      <c r="S11" s="50">
        <v>165</v>
      </c>
      <c r="T11" s="5"/>
      <c r="V11" s="106" t="s">
        <v>48</v>
      </c>
      <c r="W11" s="106"/>
      <c r="X11" s="106"/>
      <c r="Y11" s="106"/>
      <c r="Z11" s="106"/>
      <c r="AA11" s="106"/>
      <c r="AB11" s="106"/>
    </row>
    <row r="12" spans="1:30" ht="15" x14ac:dyDescent="0.35">
      <c r="A12" s="3">
        <v>9</v>
      </c>
      <c r="B12" s="49">
        <v>11.94</v>
      </c>
      <c r="C12" s="49">
        <v>14.76</v>
      </c>
      <c r="D12" s="49">
        <v>11.73</v>
      </c>
      <c r="E12" s="49">
        <v>16.059999999999999</v>
      </c>
      <c r="F12" s="49">
        <v>16.600000000000001</v>
      </c>
      <c r="G12" s="49">
        <v>11.61</v>
      </c>
      <c r="H12" s="49">
        <v>10.57</v>
      </c>
      <c r="I12" s="49">
        <v>2.91</v>
      </c>
      <c r="J12" s="49">
        <v>18.329999999999998</v>
      </c>
      <c r="K12" s="49">
        <v>20978.9</v>
      </c>
      <c r="L12" s="49">
        <v>11.39</v>
      </c>
      <c r="M12" s="49">
        <v>16.77</v>
      </c>
      <c r="N12" s="49">
        <v>13.27</v>
      </c>
      <c r="O12" s="49">
        <v>6.75</v>
      </c>
      <c r="P12" s="49">
        <v>7.08</v>
      </c>
      <c r="Q12" s="49">
        <v>10.68</v>
      </c>
      <c r="R12" s="50">
        <v>151</v>
      </c>
      <c r="S12" s="50">
        <v>139</v>
      </c>
      <c r="T12" s="5"/>
      <c r="V12" s="7" t="s">
        <v>16</v>
      </c>
      <c r="W12" s="7" t="s">
        <v>30</v>
      </c>
      <c r="X12" s="7" t="s">
        <v>36</v>
      </c>
      <c r="Y12" s="7" t="s">
        <v>5</v>
      </c>
      <c r="Z12" s="7" t="s">
        <v>39</v>
      </c>
      <c r="AA12" s="7" t="s">
        <v>32</v>
      </c>
      <c r="AB12" s="7" t="s">
        <v>40</v>
      </c>
    </row>
    <row r="13" spans="1:30" ht="15" x14ac:dyDescent="0.35">
      <c r="A13" s="3">
        <v>10</v>
      </c>
      <c r="B13" s="49">
        <v>16.399999999999999</v>
      </c>
      <c r="C13" s="49">
        <v>20.6</v>
      </c>
      <c r="D13" s="49">
        <v>23.1</v>
      </c>
      <c r="E13" s="49">
        <v>27.43</v>
      </c>
      <c r="F13" s="49">
        <v>17.2</v>
      </c>
      <c r="G13" s="49">
        <v>14.2</v>
      </c>
      <c r="H13" s="49">
        <v>18.89</v>
      </c>
      <c r="I13" s="49">
        <v>10.49</v>
      </c>
      <c r="J13" s="49">
        <v>26.47</v>
      </c>
      <c r="K13" s="49">
        <v>11.39</v>
      </c>
      <c r="L13" s="49">
        <v>20978.9</v>
      </c>
      <c r="M13" s="49">
        <v>28.12</v>
      </c>
      <c r="N13" s="49">
        <v>12.13</v>
      </c>
      <c r="O13" s="49">
        <v>12.22</v>
      </c>
      <c r="P13" s="49">
        <v>16.38</v>
      </c>
      <c r="Q13" s="49">
        <v>21.18</v>
      </c>
      <c r="R13" s="50">
        <v>111</v>
      </c>
      <c r="S13" s="50">
        <v>178</v>
      </c>
      <c r="T13" s="5"/>
      <c r="V13" s="55">
        <v>0</v>
      </c>
      <c r="W13" s="55"/>
      <c r="X13" s="55"/>
      <c r="Y13" s="55"/>
      <c r="Z13" s="55">
        <v>0</v>
      </c>
      <c r="AA13" s="55">
        <f>T3</f>
        <v>560</v>
      </c>
      <c r="AB13" s="55">
        <f t="shared" ref="AB13:AB20" si="0">SUM(Z13:AA13)</f>
        <v>560</v>
      </c>
    </row>
    <row r="14" spans="1:30" ht="15" x14ac:dyDescent="0.35">
      <c r="A14" s="3">
        <v>11</v>
      </c>
      <c r="B14" s="49">
        <v>21.7</v>
      </c>
      <c r="C14" s="49">
        <v>20.91</v>
      </c>
      <c r="D14" s="49">
        <v>5.04</v>
      </c>
      <c r="E14" s="49">
        <v>3.1</v>
      </c>
      <c r="F14" s="49">
        <v>27.81</v>
      </c>
      <c r="G14" s="49">
        <v>23.41</v>
      </c>
      <c r="H14" s="49">
        <v>13.83</v>
      </c>
      <c r="I14" s="49">
        <v>18.440000000000001</v>
      </c>
      <c r="J14" s="49">
        <v>18.07</v>
      </c>
      <c r="K14" s="49">
        <v>16.77</v>
      </c>
      <c r="L14" s="49">
        <v>28.12</v>
      </c>
      <c r="M14" s="49">
        <v>20978.9</v>
      </c>
      <c r="N14" s="49">
        <v>27.01</v>
      </c>
      <c r="O14" s="49">
        <v>19.7</v>
      </c>
      <c r="P14" s="49">
        <v>14.93</v>
      </c>
      <c r="Q14" s="49">
        <v>10.75</v>
      </c>
      <c r="R14" s="50">
        <v>146</v>
      </c>
      <c r="S14" s="50">
        <v>175</v>
      </c>
      <c r="T14" s="5"/>
      <c r="V14" s="7" t="s">
        <v>49</v>
      </c>
      <c r="W14" s="7">
        <f>MIN(C3:E3,H3:M3,O3:Q3)</f>
        <v>4.28</v>
      </c>
      <c r="X14" s="7">
        <f>R4</f>
        <v>127</v>
      </c>
      <c r="Y14" s="7">
        <f>S4</f>
        <v>106</v>
      </c>
      <c r="Z14" s="7">
        <f>Z13+X14</f>
        <v>127</v>
      </c>
      <c r="AA14" s="7">
        <f>AA13-Y14</f>
        <v>454</v>
      </c>
      <c r="AB14" s="7">
        <f t="shared" si="0"/>
        <v>581</v>
      </c>
      <c r="AC14" s="1" t="s">
        <v>50</v>
      </c>
    </row>
    <row r="15" spans="1:30" ht="15" x14ac:dyDescent="0.35">
      <c r="A15" s="3">
        <v>12</v>
      </c>
      <c r="B15" s="49">
        <v>6.85</v>
      </c>
      <c r="C15" s="49">
        <v>10.8</v>
      </c>
      <c r="D15" s="49">
        <v>22.38</v>
      </c>
      <c r="E15" s="49">
        <v>25.07</v>
      </c>
      <c r="F15" s="49">
        <v>5.08</v>
      </c>
      <c r="G15" s="49">
        <v>4.21</v>
      </c>
      <c r="H15" s="49">
        <v>23.84</v>
      </c>
      <c r="I15" s="49">
        <v>10.38</v>
      </c>
      <c r="J15" s="49">
        <v>17.7</v>
      </c>
      <c r="K15" s="49">
        <v>13.27</v>
      </c>
      <c r="L15" s="49">
        <v>12.13</v>
      </c>
      <c r="M15" s="49">
        <v>27.01</v>
      </c>
      <c r="N15" s="49">
        <v>20978.9</v>
      </c>
      <c r="O15" s="49">
        <v>7.46</v>
      </c>
      <c r="P15" s="49">
        <v>12.11</v>
      </c>
      <c r="Q15" s="49">
        <v>16.899999999999999</v>
      </c>
      <c r="R15" s="50">
        <v>160</v>
      </c>
      <c r="S15" s="50">
        <v>183</v>
      </c>
      <c r="T15" s="5"/>
      <c r="V15" s="55" t="s">
        <v>51</v>
      </c>
      <c r="W15" s="55">
        <f>MIN(D3:E3,H3:M3,O3:Q3)</f>
        <v>5.38</v>
      </c>
      <c r="X15" s="55">
        <f>R16</f>
        <v>102</v>
      </c>
      <c r="Y15" s="55">
        <f>S16</f>
        <v>121</v>
      </c>
      <c r="Z15" s="55">
        <f>Z13+X15</f>
        <v>102</v>
      </c>
      <c r="AA15" s="55">
        <f>AA13-Y15</f>
        <v>439</v>
      </c>
      <c r="AB15" s="55">
        <f t="shared" si="0"/>
        <v>541</v>
      </c>
    </row>
    <row r="16" spans="1:30" ht="15" x14ac:dyDescent="0.35">
      <c r="A16" s="3">
        <v>13</v>
      </c>
      <c r="B16" s="49">
        <v>5.38</v>
      </c>
      <c r="C16" s="49">
        <v>8.94</v>
      </c>
      <c r="D16" s="49">
        <v>14.96</v>
      </c>
      <c r="E16" s="49">
        <v>17.97</v>
      </c>
      <c r="F16" s="49">
        <v>9.9499999999999993</v>
      </c>
      <c r="G16" s="49">
        <v>4.9000000000000004</v>
      </c>
      <c r="H16" s="49">
        <v>17.09</v>
      </c>
      <c r="I16" s="49">
        <v>4.01</v>
      </c>
      <c r="J16" s="49">
        <v>14.26</v>
      </c>
      <c r="K16" s="49">
        <v>6.75</v>
      </c>
      <c r="L16" s="49">
        <v>12.22</v>
      </c>
      <c r="M16" s="49">
        <v>19.7</v>
      </c>
      <c r="N16" s="49">
        <v>7.46</v>
      </c>
      <c r="O16" s="49">
        <v>20978.9</v>
      </c>
      <c r="P16" s="49">
        <v>5.07</v>
      </c>
      <c r="Q16" s="49">
        <v>10.17</v>
      </c>
      <c r="R16" s="50">
        <v>102</v>
      </c>
      <c r="S16" s="50">
        <v>121</v>
      </c>
      <c r="T16" s="5"/>
      <c r="V16" s="7" t="s">
        <v>52</v>
      </c>
      <c r="W16" s="7">
        <f>MIN(C16:E16,H16:M16,O16:Q16)</f>
        <v>4.01</v>
      </c>
      <c r="X16" s="7">
        <f>R10</f>
        <v>154</v>
      </c>
      <c r="Y16" s="7">
        <f>S10</f>
        <v>116</v>
      </c>
      <c r="Z16" s="7">
        <f>Z15+X16</f>
        <v>256</v>
      </c>
      <c r="AA16" s="7">
        <f>AA15-Y16</f>
        <v>323</v>
      </c>
      <c r="AB16" s="7">
        <f t="shared" si="0"/>
        <v>579</v>
      </c>
      <c r="AC16" s="1" t="s">
        <v>50</v>
      </c>
    </row>
    <row r="17" spans="1:29" ht="15" x14ac:dyDescent="0.35">
      <c r="A17" s="3">
        <v>14</v>
      </c>
      <c r="B17" s="49">
        <v>7.24</v>
      </c>
      <c r="C17" s="49">
        <v>8.4600000000000009</v>
      </c>
      <c r="D17" s="49">
        <v>10.47</v>
      </c>
      <c r="E17" s="49">
        <v>12.99</v>
      </c>
      <c r="F17" s="49">
        <v>13.22</v>
      </c>
      <c r="G17" s="49">
        <v>8.5299999999999994</v>
      </c>
      <c r="H17" s="49">
        <v>15.25</v>
      </c>
      <c r="I17" s="49">
        <v>6.08</v>
      </c>
      <c r="J17" s="49">
        <v>11.25</v>
      </c>
      <c r="K17" s="49">
        <v>7.08</v>
      </c>
      <c r="L17" s="49">
        <v>16.38</v>
      </c>
      <c r="M17" s="49">
        <v>14.93</v>
      </c>
      <c r="N17" s="49">
        <v>12.11</v>
      </c>
      <c r="O17" s="49">
        <v>5.07</v>
      </c>
      <c r="P17" s="49">
        <v>20978.9</v>
      </c>
      <c r="Q17" s="49">
        <v>5.12</v>
      </c>
      <c r="R17" s="50">
        <v>107</v>
      </c>
      <c r="S17" s="50">
        <v>111</v>
      </c>
      <c r="T17" s="5"/>
      <c r="V17" s="55" t="s">
        <v>53</v>
      </c>
      <c r="W17" s="55">
        <f>MIN(C16:E16,J16:M16,H16,P16:Q16)</f>
        <v>5.07</v>
      </c>
      <c r="X17" s="55">
        <f>R17</f>
        <v>107</v>
      </c>
      <c r="Y17" s="55">
        <f>S17</f>
        <v>111</v>
      </c>
      <c r="Z17" s="55">
        <f>Z15+X17</f>
        <v>209</v>
      </c>
      <c r="AA17" s="55">
        <f>AA15-Y17</f>
        <v>328</v>
      </c>
      <c r="AB17" s="55">
        <f t="shared" si="0"/>
        <v>537</v>
      </c>
    </row>
    <row r="18" spans="1:29" ht="15" x14ac:dyDescent="0.35">
      <c r="A18" s="3">
        <v>15</v>
      </c>
      <c r="B18" s="49">
        <v>11.04</v>
      </c>
      <c r="C18" s="49">
        <v>10.28</v>
      </c>
      <c r="D18" s="49">
        <v>7.34</v>
      </c>
      <c r="E18" s="49">
        <v>8.33</v>
      </c>
      <c r="F18" s="49">
        <v>17.12</v>
      </c>
      <c r="G18" s="49">
        <v>12.98</v>
      </c>
      <c r="H18" s="49">
        <v>15.55</v>
      </c>
      <c r="I18" s="49">
        <v>10.69</v>
      </c>
      <c r="J18" s="49">
        <v>9.48</v>
      </c>
      <c r="K18" s="49">
        <v>10.68</v>
      </c>
      <c r="L18" s="49">
        <v>21.18</v>
      </c>
      <c r="M18" s="49">
        <v>10.75</v>
      </c>
      <c r="N18" s="49">
        <v>16.899999999999999</v>
      </c>
      <c r="O18" s="49">
        <v>10.17</v>
      </c>
      <c r="P18" s="49">
        <v>5.12</v>
      </c>
      <c r="Q18" s="49">
        <v>20978.9</v>
      </c>
      <c r="R18" s="50">
        <v>133</v>
      </c>
      <c r="S18" s="50">
        <v>113</v>
      </c>
      <c r="T18" s="5"/>
      <c r="V18" s="55" t="s">
        <v>54</v>
      </c>
      <c r="W18" s="55">
        <f>MIN(C17:E17,J17:M17,H17,Q17)</f>
        <v>5.12</v>
      </c>
      <c r="X18" s="55">
        <f>R18</f>
        <v>133</v>
      </c>
      <c r="Y18" s="55">
        <f>S18</f>
        <v>113</v>
      </c>
      <c r="Z18" s="55">
        <f>Z17+X18</f>
        <v>342</v>
      </c>
      <c r="AA18" s="55">
        <f>AA17-Y18</f>
        <v>215</v>
      </c>
      <c r="AB18" s="55">
        <f t="shared" si="0"/>
        <v>557</v>
      </c>
    </row>
    <row r="19" spans="1:29" x14ac:dyDescent="0.35">
      <c r="Q19" s="56" t="s">
        <v>55</v>
      </c>
      <c r="R19" s="57">
        <f>SUM(R4:R18)</f>
        <v>1993</v>
      </c>
      <c r="S19" s="57">
        <f>SUM(S4:S18)</f>
        <v>2203</v>
      </c>
      <c r="V19" s="55" t="s">
        <v>56</v>
      </c>
      <c r="W19" s="55">
        <f>MIN(C18:E18,J18:M18,H18)</f>
        <v>7.34</v>
      </c>
      <c r="X19" s="55">
        <f>R5</f>
        <v>124</v>
      </c>
      <c r="Y19" s="55">
        <f>S5</f>
        <v>198</v>
      </c>
      <c r="Z19" s="55">
        <f>Z18+X19</f>
        <v>466</v>
      </c>
      <c r="AA19" s="55">
        <f>AA18-Y19</f>
        <v>17</v>
      </c>
      <c r="AB19" s="55">
        <f t="shared" si="0"/>
        <v>483</v>
      </c>
    </row>
    <row r="20" spans="1:29" x14ac:dyDescent="0.35">
      <c r="Q20" s="58"/>
      <c r="R20" s="58"/>
      <c r="S20" s="58"/>
      <c r="V20" s="7" t="s">
        <v>57</v>
      </c>
      <c r="W20" s="7">
        <f>MIN(C5,K5:N5,H5,E5)</f>
        <v>4.91</v>
      </c>
      <c r="X20" s="7">
        <f>R6</f>
        <v>106</v>
      </c>
      <c r="Y20" s="7">
        <f>S6</f>
        <v>139</v>
      </c>
      <c r="Z20" s="7">
        <f>Z19+X20</f>
        <v>572</v>
      </c>
      <c r="AA20" s="7">
        <f>AA19-Y20</f>
        <v>-122</v>
      </c>
      <c r="AB20" s="7">
        <f t="shared" si="0"/>
        <v>450</v>
      </c>
      <c r="AC20" s="1" t="s">
        <v>58</v>
      </c>
    </row>
    <row r="21" spans="1:29" x14ac:dyDescent="0.35">
      <c r="Q21" s="58"/>
      <c r="R21" s="58"/>
      <c r="S21" s="58"/>
      <c r="V21" s="55" t="s">
        <v>59</v>
      </c>
      <c r="W21" s="55">
        <f>B5</f>
        <v>17.579999999999998</v>
      </c>
      <c r="X21" s="55"/>
      <c r="Y21" s="55"/>
      <c r="Z21" s="55"/>
      <c r="AA21" s="55"/>
      <c r="AB21" s="55"/>
    </row>
    <row r="22" spans="1:29" x14ac:dyDescent="0.35">
      <c r="Q22" s="58"/>
      <c r="R22" s="58"/>
      <c r="S22" s="58"/>
      <c r="V22" s="12" t="s">
        <v>19</v>
      </c>
      <c r="W22" s="13">
        <f>SUM(W15,W17:W19,W21)</f>
        <v>40.489999999999995</v>
      </c>
    </row>
    <row r="24" spans="1:29" x14ac:dyDescent="0.35">
      <c r="V24" s="109" t="s">
        <v>60</v>
      </c>
      <c r="W24" s="106"/>
      <c r="X24" s="109"/>
      <c r="Y24" s="109"/>
      <c r="Z24" s="109"/>
      <c r="AA24" s="109"/>
      <c r="AB24" s="109"/>
    </row>
    <row r="25" spans="1:29" x14ac:dyDescent="0.35">
      <c r="V25" s="59" t="s">
        <v>16</v>
      </c>
      <c r="W25" s="60" t="s">
        <v>30</v>
      </c>
      <c r="X25" s="61" t="s">
        <v>36</v>
      </c>
      <c r="Y25" s="11" t="s">
        <v>5</v>
      </c>
      <c r="Z25" s="11" t="s">
        <v>39</v>
      </c>
      <c r="AA25" s="11" t="s">
        <v>32</v>
      </c>
      <c r="AB25" s="11" t="s">
        <v>40</v>
      </c>
    </row>
    <row r="26" spans="1:29" x14ac:dyDescent="0.35">
      <c r="V26" s="62">
        <v>0</v>
      </c>
      <c r="W26" s="63"/>
      <c r="X26" s="64"/>
      <c r="Y26" s="65"/>
      <c r="Z26" s="65">
        <v>0</v>
      </c>
      <c r="AA26" s="65">
        <f>T3</f>
        <v>560</v>
      </c>
      <c r="AB26" s="65">
        <f t="shared" ref="AB26:AB28" si="1">SUM(Z26:AA26)</f>
        <v>560</v>
      </c>
    </row>
    <row r="27" spans="1:29" x14ac:dyDescent="0.35">
      <c r="V27" s="66" t="s">
        <v>49</v>
      </c>
      <c r="W27" s="60">
        <f>MIN(C3,K3:N3,H3,E3)</f>
        <v>4.28</v>
      </c>
      <c r="X27" s="67">
        <f>R4</f>
        <v>127</v>
      </c>
      <c r="Y27" s="67">
        <f>S4</f>
        <v>106</v>
      </c>
      <c r="Z27" s="68">
        <f>Z26+X27</f>
        <v>127</v>
      </c>
      <c r="AA27" s="68">
        <f>AA26-Y27</f>
        <v>454</v>
      </c>
      <c r="AB27" s="68">
        <f t="shared" si="1"/>
        <v>581</v>
      </c>
      <c r="AC27" s="1" t="s">
        <v>61</v>
      </c>
    </row>
    <row r="28" spans="1:29" x14ac:dyDescent="0.35">
      <c r="V28" s="62" t="s">
        <v>62</v>
      </c>
      <c r="W28" s="69">
        <f>MIN(K3:N3,H3,E3)</f>
        <v>6.85</v>
      </c>
      <c r="X28" s="65">
        <f>R15</f>
        <v>160</v>
      </c>
      <c r="Y28" s="65">
        <f>S15</f>
        <v>183</v>
      </c>
      <c r="Z28" s="65">
        <f>Z26+X28</f>
        <v>160</v>
      </c>
      <c r="AA28" s="65">
        <f>AA26-Y28</f>
        <v>377</v>
      </c>
      <c r="AB28" s="65">
        <f t="shared" si="1"/>
        <v>537</v>
      </c>
    </row>
    <row r="29" spans="1:29" x14ac:dyDescent="0.35">
      <c r="V29" s="62" t="s">
        <v>63</v>
      </c>
      <c r="W29" s="69">
        <f>MIN(K15:M15,H15,E15,C15)</f>
        <v>10.8</v>
      </c>
      <c r="X29" s="70">
        <f>R4</f>
        <v>127</v>
      </c>
      <c r="Y29" s="70">
        <f>S4</f>
        <v>106</v>
      </c>
      <c r="Z29" s="65">
        <f>Z28+X29</f>
        <v>287</v>
      </c>
      <c r="AA29" s="65">
        <f>AA28-Y29</f>
        <v>271</v>
      </c>
      <c r="AB29" s="65">
        <f>SUM(Z29:AA29)</f>
        <v>558</v>
      </c>
    </row>
    <row r="30" spans="1:29" x14ac:dyDescent="0.35">
      <c r="V30" s="66" t="s">
        <v>64</v>
      </c>
      <c r="W30" s="60">
        <f>MIN(K4:M4,H4,E4)</f>
        <v>14.76</v>
      </c>
      <c r="X30" s="2">
        <f>R12</f>
        <v>151</v>
      </c>
      <c r="Y30" s="2">
        <f>S12</f>
        <v>139</v>
      </c>
      <c r="Z30" s="68">
        <f>Z29+X30</f>
        <v>438</v>
      </c>
      <c r="AA30" s="68">
        <f>AA29-Y30</f>
        <v>132</v>
      </c>
      <c r="AB30" s="68">
        <f>SUM(Z30:AA30)</f>
        <v>570</v>
      </c>
      <c r="AC30" s="1" t="s">
        <v>61</v>
      </c>
    </row>
    <row r="31" spans="1:29" x14ac:dyDescent="0.35">
      <c r="V31" s="62" t="s">
        <v>65</v>
      </c>
      <c r="W31" s="52">
        <f>MIN(L4:M4,H4,E4)</f>
        <v>18.2</v>
      </c>
      <c r="X31" s="52">
        <f>R6</f>
        <v>106</v>
      </c>
      <c r="Y31" s="52">
        <f>S6</f>
        <v>139</v>
      </c>
      <c r="Z31" s="65">
        <f>Z29+X31</f>
        <v>393</v>
      </c>
      <c r="AA31" s="65">
        <f>AA29-Y31</f>
        <v>132</v>
      </c>
      <c r="AB31" s="65">
        <f>SUM(Z31:AA31)</f>
        <v>525</v>
      </c>
    </row>
    <row r="32" spans="1:29" x14ac:dyDescent="0.35">
      <c r="V32" s="71" t="s">
        <v>66</v>
      </c>
      <c r="W32" s="6">
        <f>MIN(K6:M6,H6)</f>
        <v>3.1</v>
      </c>
      <c r="X32" s="10">
        <f>R14</f>
        <v>146</v>
      </c>
      <c r="Y32" s="10">
        <f>S14</f>
        <v>175</v>
      </c>
      <c r="Z32" s="10">
        <f>Z31+X32</f>
        <v>539</v>
      </c>
      <c r="AA32" s="10">
        <f>AA31-Y32</f>
        <v>-43</v>
      </c>
      <c r="AB32" s="10">
        <f>SUM(Z32:AA32)</f>
        <v>496</v>
      </c>
      <c r="AC32" s="1" t="s">
        <v>45</v>
      </c>
    </row>
    <row r="33" spans="22:29" x14ac:dyDescent="0.35">
      <c r="V33" s="69" t="s">
        <v>67</v>
      </c>
      <c r="W33" s="69">
        <f>B6</f>
        <v>19.37</v>
      </c>
      <c r="X33" s="69"/>
      <c r="Y33" s="69"/>
      <c r="Z33" s="55"/>
      <c r="AA33" s="55"/>
      <c r="AB33" s="55"/>
    </row>
    <row r="34" spans="22:29" x14ac:dyDescent="0.35">
      <c r="V34" s="12" t="s">
        <v>19</v>
      </c>
      <c r="W34" s="13">
        <f>SUM(W28:W29,W31,W33)</f>
        <v>55.22</v>
      </c>
    </row>
    <row r="36" spans="22:29" x14ac:dyDescent="0.35">
      <c r="V36" s="109" t="s">
        <v>68</v>
      </c>
      <c r="W36" s="109"/>
      <c r="X36" s="109"/>
      <c r="Y36" s="109"/>
      <c r="Z36" s="109"/>
      <c r="AA36" s="109"/>
      <c r="AB36" s="109"/>
    </row>
    <row r="37" spans="22:29" x14ac:dyDescent="0.35">
      <c r="V37" s="11" t="s">
        <v>16</v>
      </c>
      <c r="W37" s="11" t="s">
        <v>30</v>
      </c>
      <c r="X37" s="11" t="s">
        <v>36</v>
      </c>
      <c r="Y37" s="11" t="s">
        <v>5</v>
      </c>
      <c r="Z37" s="11" t="s">
        <v>39</v>
      </c>
      <c r="AA37" s="11" t="s">
        <v>32</v>
      </c>
      <c r="AB37" s="11" t="s">
        <v>40</v>
      </c>
    </row>
    <row r="38" spans="22:29" x14ac:dyDescent="0.35">
      <c r="V38" s="65">
        <v>0</v>
      </c>
      <c r="W38" s="65"/>
      <c r="X38" s="65"/>
      <c r="Y38" s="65"/>
      <c r="Z38" s="65">
        <v>0</v>
      </c>
      <c r="AA38" s="65">
        <f>T3</f>
        <v>560</v>
      </c>
      <c r="AB38" s="65">
        <f t="shared" ref="AB38:AB43" si="2">SUM(Z38:AA38)</f>
        <v>560</v>
      </c>
    </row>
    <row r="39" spans="22:29" x14ac:dyDescent="0.35">
      <c r="V39" s="10" t="s">
        <v>69</v>
      </c>
      <c r="W39" s="10">
        <f>MIN(K3:M3,H3,E3)</f>
        <v>11.94</v>
      </c>
      <c r="X39" s="10">
        <f>R12</f>
        <v>151</v>
      </c>
      <c r="Y39" s="10">
        <f>S12</f>
        <v>139</v>
      </c>
      <c r="Z39" s="10">
        <f>Z38+X39</f>
        <v>151</v>
      </c>
      <c r="AA39" s="10">
        <f>AA38-Y39</f>
        <v>421</v>
      </c>
      <c r="AB39" s="10">
        <f t="shared" si="2"/>
        <v>572</v>
      </c>
      <c r="AC39" s="1" t="s">
        <v>61</v>
      </c>
    </row>
    <row r="40" spans="22:29" x14ac:dyDescent="0.35">
      <c r="V40" s="69" t="s">
        <v>70</v>
      </c>
      <c r="W40" s="69">
        <f>MIN(L3:M3,H3,E3)</f>
        <v>16.399999999999999</v>
      </c>
      <c r="X40" s="69">
        <f>R13</f>
        <v>111</v>
      </c>
      <c r="Y40" s="69">
        <f>S13</f>
        <v>178</v>
      </c>
      <c r="Z40" s="69">
        <f>Z38+X40</f>
        <v>111</v>
      </c>
      <c r="AA40" s="69">
        <f>AA38-Y40</f>
        <v>382</v>
      </c>
      <c r="AB40" s="69">
        <f t="shared" si="2"/>
        <v>493</v>
      </c>
      <c r="AC40" s="1" t="s">
        <v>61</v>
      </c>
    </row>
    <row r="41" spans="22:29" x14ac:dyDescent="0.35">
      <c r="V41" s="69" t="s">
        <v>71</v>
      </c>
      <c r="W41" s="69">
        <f>MIN(M13,H13,E13,K13)</f>
        <v>11.39</v>
      </c>
      <c r="X41" s="69">
        <f>R12</f>
        <v>151</v>
      </c>
      <c r="Y41" s="69">
        <f>S12</f>
        <v>139</v>
      </c>
      <c r="Z41" s="69">
        <f>Z40+X41</f>
        <v>262</v>
      </c>
      <c r="AA41" s="69">
        <f>AA40-Y41</f>
        <v>243</v>
      </c>
      <c r="AB41" s="69">
        <f t="shared" si="2"/>
        <v>505</v>
      </c>
    </row>
    <row r="42" spans="22:29" x14ac:dyDescent="0.35">
      <c r="V42" s="69" t="s">
        <v>72</v>
      </c>
      <c r="W42" s="69">
        <f>MIN(M12,H12,E12)</f>
        <v>10.57</v>
      </c>
      <c r="X42" s="69">
        <f>R9</f>
        <v>126</v>
      </c>
      <c r="Y42" s="69">
        <f>S9</f>
        <v>163</v>
      </c>
      <c r="Z42" s="69">
        <f>Z41+X42</f>
        <v>388</v>
      </c>
      <c r="AA42" s="69">
        <f>AA41-Y42</f>
        <v>80</v>
      </c>
      <c r="AB42" s="69">
        <f t="shared" si="2"/>
        <v>468</v>
      </c>
    </row>
    <row r="43" spans="22:29" x14ac:dyDescent="0.35">
      <c r="V43" s="60" t="s">
        <v>73</v>
      </c>
      <c r="W43" s="60">
        <f>MIN(M9,E9)</f>
        <v>13.83</v>
      </c>
      <c r="X43" s="60">
        <f>R14</f>
        <v>146</v>
      </c>
      <c r="Y43" s="60">
        <f>S14</f>
        <v>175</v>
      </c>
      <c r="Z43" s="60">
        <f>Z42+X43</f>
        <v>534</v>
      </c>
      <c r="AA43" s="60">
        <f>AA42-Y43</f>
        <v>-95</v>
      </c>
      <c r="AB43" s="60">
        <f t="shared" si="2"/>
        <v>439</v>
      </c>
      <c r="AC43" s="1" t="s">
        <v>45</v>
      </c>
    </row>
    <row r="44" spans="22:29" x14ac:dyDescent="0.35">
      <c r="V44" s="69" t="s">
        <v>74</v>
      </c>
      <c r="W44" s="63">
        <f>B9</f>
        <v>21.85</v>
      </c>
      <c r="X44" s="63"/>
      <c r="Y44" s="63"/>
      <c r="Z44" s="63"/>
      <c r="AA44" s="63"/>
      <c r="AB44" s="63"/>
    </row>
    <row r="45" spans="22:29" x14ac:dyDescent="0.35">
      <c r="V45" s="12" t="s">
        <v>19</v>
      </c>
      <c r="W45" s="13">
        <f>SUM(W40:W42,W44)</f>
        <v>60.21</v>
      </c>
    </row>
    <row r="47" spans="22:29" x14ac:dyDescent="0.35">
      <c r="V47" s="109" t="s">
        <v>75</v>
      </c>
      <c r="W47" s="109"/>
      <c r="X47" s="109"/>
      <c r="Y47" s="109"/>
      <c r="Z47" s="109"/>
      <c r="AA47" s="109"/>
      <c r="AB47" s="109"/>
    </row>
    <row r="48" spans="22:29" x14ac:dyDescent="0.35">
      <c r="V48" s="11" t="s">
        <v>16</v>
      </c>
      <c r="W48" s="11" t="s">
        <v>30</v>
      </c>
      <c r="X48" s="11" t="s">
        <v>36</v>
      </c>
      <c r="Y48" s="11" t="s">
        <v>5</v>
      </c>
      <c r="Z48" s="11" t="s">
        <v>39</v>
      </c>
      <c r="AA48" s="11" t="s">
        <v>32</v>
      </c>
      <c r="AB48" s="11" t="s">
        <v>40</v>
      </c>
    </row>
    <row r="49" spans="21:30" x14ac:dyDescent="0.35">
      <c r="V49" s="55">
        <v>0</v>
      </c>
      <c r="W49" s="55"/>
      <c r="X49" s="55"/>
      <c r="Y49" s="55"/>
      <c r="Z49" s="55">
        <v>0</v>
      </c>
      <c r="AA49" s="55">
        <f>T3</f>
        <v>560</v>
      </c>
      <c r="AB49" s="55">
        <f>SUM(Z49:AA49)</f>
        <v>560</v>
      </c>
    </row>
    <row r="50" spans="21:30" x14ac:dyDescent="0.35">
      <c r="V50" s="55" t="s">
        <v>76</v>
      </c>
      <c r="W50" s="55">
        <f>MIN(M3,E3)</f>
        <v>19.37</v>
      </c>
      <c r="X50" s="55">
        <f>R6</f>
        <v>106</v>
      </c>
      <c r="Y50" s="55">
        <f>S6</f>
        <v>139</v>
      </c>
      <c r="Z50" s="55">
        <f>Z49+X50</f>
        <v>106</v>
      </c>
      <c r="AA50" s="55">
        <f>AA49-Y50</f>
        <v>421</v>
      </c>
      <c r="AB50" s="55">
        <f>SUM(Z50:AA50)</f>
        <v>527</v>
      </c>
    </row>
    <row r="51" spans="21:30" x14ac:dyDescent="0.35">
      <c r="V51" s="55" t="s">
        <v>77</v>
      </c>
      <c r="W51" s="55">
        <f>M6</f>
        <v>3.1</v>
      </c>
      <c r="X51" s="55">
        <f>R14</f>
        <v>146</v>
      </c>
      <c r="Y51" s="55">
        <f>S14</f>
        <v>175</v>
      </c>
      <c r="Z51" s="55">
        <f>Z50+X51</f>
        <v>252</v>
      </c>
      <c r="AA51" s="55">
        <f>AA50-Y51</f>
        <v>246</v>
      </c>
      <c r="AB51" s="55">
        <f>SUM(Z51:AA51)</f>
        <v>498</v>
      </c>
    </row>
    <row r="52" spans="21:30" x14ac:dyDescent="0.35">
      <c r="V52" s="55" t="s">
        <v>78</v>
      </c>
      <c r="W52" s="55">
        <f>B14</f>
        <v>21.7</v>
      </c>
      <c r="X52" s="55"/>
      <c r="Y52" s="55"/>
      <c r="Z52" s="55"/>
      <c r="AA52" s="55"/>
      <c r="AB52" s="55"/>
    </row>
    <row r="53" spans="21:30" x14ac:dyDescent="0.35">
      <c r="V53" s="12" t="s">
        <v>19</v>
      </c>
      <c r="W53" s="13">
        <f>SUM(W50:W52)</f>
        <v>44.17</v>
      </c>
    </row>
    <row r="55" spans="21:30" x14ac:dyDescent="0.35">
      <c r="U55" s="110" t="s">
        <v>79</v>
      </c>
      <c r="V55" s="110"/>
      <c r="W55" s="110"/>
      <c r="X55" s="110"/>
      <c r="Y55" s="110"/>
      <c r="Z55" s="110"/>
      <c r="AA55" s="110"/>
      <c r="AB55" s="110"/>
      <c r="AC55" s="110"/>
      <c r="AD55" s="110"/>
    </row>
    <row r="56" spans="21:30" x14ac:dyDescent="0.35">
      <c r="U56" s="57" t="s">
        <v>80</v>
      </c>
      <c r="V56" s="57" t="s">
        <v>16</v>
      </c>
      <c r="W56" s="57" t="s">
        <v>30</v>
      </c>
      <c r="X56" s="57" t="s">
        <v>36</v>
      </c>
      <c r="Y56" s="57" t="s">
        <v>5</v>
      </c>
      <c r="Z56" s="57" t="s">
        <v>39</v>
      </c>
      <c r="AA56" s="57" t="s">
        <v>32</v>
      </c>
      <c r="AB56" s="57" t="s">
        <v>40</v>
      </c>
      <c r="AC56" s="57" t="s">
        <v>81</v>
      </c>
      <c r="AD56" s="57" t="s">
        <v>21</v>
      </c>
    </row>
    <row r="57" spans="21:30" x14ac:dyDescent="0.35">
      <c r="U57" s="60">
        <v>1</v>
      </c>
      <c r="V57" s="7" t="str">
        <f>V8</f>
        <v>0--5--12--4--0</v>
      </c>
      <c r="W57" s="60">
        <f>W9</f>
        <v>18.09</v>
      </c>
      <c r="X57" s="60">
        <f>SUM(X4:X6)</f>
        <v>412</v>
      </c>
      <c r="Y57" s="60">
        <f>SUM(Y4:Y6)</f>
        <v>479</v>
      </c>
      <c r="Z57" s="60">
        <f>Z6</f>
        <v>412</v>
      </c>
      <c r="AA57" s="60">
        <f>AA6</f>
        <v>81</v>
      </c>
      <c r="AB57" s="60">
        <f>AB6</f>
        <v>493</v>
      </c>
      <c r="AC57" s="72">
        <v>3133</v>
      </c>
      <c r="AD57" s="73">
        <f>AC57*W57</f>
        <v>56675.97</v>
      </c>
    </row>
    <row r="58" spans="21:30" x14ac:dyDescent="0.35">
      <c r="U58" s="60">
        <v>2</v>
      </c>
      <c r="V58" s="60" t="str">
        <f>V21</f>
        <v>0--13--14--15--2--0</v>
      </c>
      <c r="W58" s="60">
        <f>W22</f>
        <v>40.489999999999995</v>
      </c>
      <c r="X58" s="60">
        <f>SUM(X15,X17:X19)</f>
        <v>466</v>
      </c>
      <c r="Y58" s="60">
        <f>SUM(Y15,Y17:Y19)</f>
        <v>543</v>
      </c>
      <c r="Z58" s="60">
        <f>Z19</f>
        <v>466</v>
      </c>
      <c r="AA58" s="60">
        <f>AA19</f>
        <v>17</v>
      </c>
      <c r="AB58" s="60">
        <f>AB19</f>
        <v>483</v>
      </c>
      <c r="AC58" s="72">
        <v>3133</v>
      </c>
      <c r="AD58" s="73">
        <f t="shared" ref="AD58:AD61" si="3">AC58*W58</f>
        <v>126855.16999999998</v>
      </c>
    </row>
    <row r="59" spans="21:30" x14ac:dyDescent="0.35">
      <c r="U59" s="60">
        <v>3</v>
      </c>
      <c r="V59" s="7" t="str">
        <f>V33</f>
        <v>0--12--1--3--0</v>
      </c>
      <c r="W59" s="60">
        <f>W34</f>
        <v>55.22</v>
      </c>
      <c r="X59" s="60">
        <f>SUM(X28:X29,X31)</f>
        <v>393</v>
      </c>
      <c r="Y59" s="60">
        <f>SUM(Y28:Y29,Y31)</f>
        <v>428</v>
      </c>
      <c r="Z59" s="60">
        <f>Z31</f>
        <v>393</v>
      </c>
      <c r="AA59" s="60">
        <f>AA31</f>
        <v>132</v>
      </c>
      <c r="AB59" s="60">
        <f>AB31</f>
        <v>525</v>
      </c>
      <c r="AC59" s="72">
        <v>3133</v>
      </c>
      <c r="AD59" s="73">
        <f t="shared" si="3"/>
        <v>173004.26</v>
      </c>
    </row>
    <row r="60" spans="21:30" x14ac:dyDescent="0.35">
      <c r="U60" s="60">
        <v>4</v>
      </c>
      <c r="V60" s="60" t="str">
        <f>V44</f>
        <v>0--10--9--6--0</v>
      </c>
      <c r="W60" s="60">
        <f>W45</f>
        <v>60.21</v>
      </c>
      <c r="X60" s="74">
        <f>SUM(X40:X42)</f>
        <v>388</v>
      </c>
      <c r="Y60" s="74">
        <f>SUM(Y40:Y42)</f>
        <v>480</v>
      </c>
      <c r="Z60" s="60">
        <f>Z42</f>
        <v>388</v>
      </c>
      <c r="AA60" s="60">
        <f>AA42</f>
        <v>80</v>
      </c>
      <c r="AB60" s="60">
        <f>AB42</f>
        <v>468</v>
      </c>
      <c r="AC60" s="72">
        <v>3133</v>
      </c>
      <c r="AD60" s="73">
        <f t="shared" si="3"/>
        <v>188637.93</v>
      </c>
    </row>
    <row r="61" spans="21:30" x14ac:dyDescent="0.35">
      <c r="U61" s="60">
        <v>5</v>
      </c>
      <c r="V61" s="60" t="str">
        <f>V52</f>
        <v>0--3--11--0</v>
      </c>
      <c r="W61" s="60">
        <f>W53</f>
        <v>44.17</v>
      </c>
      <c r="X61" s="60">
        <f>SUM(X50:X51)</f>
        <v>252</v>
      </c>
      <c r="Y61" s="60">
        <f>SUM(Y50:Y51)</f>
        <v>314</v>
      </c>
      <c r="Z61" s="60">
        <f>Z51</f>
        <v>252</v>
      </c>
      <c r="AA61" s="60">
        <f>AA51</f>
        <v>246</v>
      </c>
      <c r="AB61" s="60">
        <f>AB51</f>
        <v>498</v>
      </c>
      <c r="AC61" s="72">
        <v>3133</v>
      </c>
      <c r="AD61" s="73">
        <f t="shared" si="3"/>
        <v>138384.61000000002</v>
      </c>
    </row>
    <row r="62" spans="21:30" x14ac:dyDescent="0.35">
      <c r="U62" s="111" t="s">
        <v>19</v>
      </c>
      <c r="V62" s="112"/>
      <c r="W62" s="75">
        <f>SUM(W57:W61)</f>
        <v>218.18</v>
      </c>
      <c r="X62" s="113" t="s">
        <v>21</v>
      </c>
      <c r="Y62" s="114"/>
      <c r="Z62" s="114"/>
      <c r="AA62" s="114"/>
      <c r="AB62" s="114"/>
      <c r="AC62" s="115"/>
      <c r="AD62" s="76">
        <f>SUM(AD57:AD61)</f>
        <v>683557.94000000006</v>
      </c>
    </row>
  </sheetData>
  <mergeCells count="12">
    <mergeCell ref="V24:AB24"/>
    <mergeCell ref="V36:AB36"/>
    <mergeCell ref="V47:AB47"/>
    <mergeCell ref="U55:AD55"/>
    <mergeCell ref="U62:V62"/>
    <mergeCell ref="X62:AC62"/>
    <mergeCell ref="V11:AB11"/>
    <mergeCell ref="A1:Q1"/>
    <mergeCell ref="R1:R2"/>
    <mergeCell ref="S1:S2"/>
    <mergeCell ref="T1:T2"/>
    <mergeCell ref="V1:A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" ma:contentTypeID="0x010100090208C7076DC543BE543AEF68F492A8" ma:contentTypeVersion="2" ma:contentTypeDescription="Buat sebuah dokumen baru." ma:contentTypeScope="" ma:versionID="434d499c5fbfdfb052e1397874ba5f40">
  <xsd:schema xmlns:xsd="http://www.w3.org/2001/XMLSchema" xmlns:xs="http://www.w3.org/2001/XMLSchema" xmlns:p="http://schemas.microsoft.com/office/2006/metadata/properties" xmlns:ns3="81742626-3c86-40e9-a77c-442106b7b49e" targetNamespace="http://schemas.microsoft.com/office/2006/metadata/properties" ma:root="true" ma:fieldsID="bedce3da213c1c5ba1991bc1d51f8fcb" ns3:_="">
    <xsd:import namespace="81742626-3c86-40e9-a77c-442106b7b49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742626-3c86-40e9-a77c-442106b7b4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e Isi"/>
        <xsd:element ref="dc:title" minOccurs="0" maxOccurs="1" ma:index="4" ma:displayName="Judu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665387-F232-417D-A8D2-45DAC5F6E1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742626-3c86-40e9-a77c-442106b7b4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25B582A-A70D-4D7F-A92B-F1F7B043D9CE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81742626-3c86-40e9-a77c-442106b7b49e"/>
    <ds:schemaRef ds:uri="http://purl.org/dc/terms/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83AF484-F6C8-4C0A-A3B2-210CA146E7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Input</vt:lpstr>
      <vt:lpstr>Data </vt:lpstr>
      <vt:lpstr>Distance Matrix</vt:lpstr>
      <vt:lpstr>Solution</vt:lpstr>
      <vt:lpstr>Iterasi solusi</vt:lpstr>
      <vt:lpstr>Manual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Windows User</cp:lastModifiedBy>
  <cp:revision/>
  <dcterms:created xsi:type="dcterms:W3CDTF">2021-12-29T03:04:11Z</dcterms:created>
  <dcterms:modified xsi:type="dcterms:W3CDTF">2022-04-07T08:27:51Z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0x010100090208C7076DC543BE543AEF68F492A8</vt:lpwstr>
  </property>
</Properties>
</file>